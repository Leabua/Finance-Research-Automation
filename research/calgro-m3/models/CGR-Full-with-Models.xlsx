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Standardised Data" sheetId="1" state="visible" r:id="rId3"/>
    <sheet name="Cumulative - Outlay" sheetId="2" state="visible" r:id="rId4"/>
    <sheet name="Bankenveld - Outlay" sheetId="3" state="visible" r:id="rId5"/>
    <sheet name="Memorial Parks - Outlay" sheetId="4" state="visible" r:id="rId6"/>
    <sheet name="Other IRD - Outlays" sheetId="5" state="visible" r:id="rId7"/>
    <sheet name="Balance Sheet" sheetId="6" state="visible" r:id="rId8"/>
    <sheet name="Cash Flows" sheetId="7" state="visible" r:id="rId9"/>
    <sheet name="Close Prices" sheetId="8" state="visible" r:id="rId10"/>
    <sheet name="Growth Estimates" sheetId="9" state="visible" r:id="rId11"/>
    <sheet name="Income Statement" sheetId="10" state="visible" r:id="rId12"/>
    <sheet name="Price Targets" sheetId="11" state="visible" r:id="rId13"/>
    <sheet name="Recommendation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<sst xmlns="http://schemas.openxmlformats.org/spreadsheetml/2006/main" count="718" uniqueCount="525">
  <si>
    <t xml:space="preserve">Calgro M3 — Statement of Financial Position</t>
  </si>
  <si>
    <t xml:space="preserve">Notes</t>
  </si>
  <si>
    <t xml:space="preserve">Key ratios </t>
  </si>
  <si>
    <t xml:space="preserve">ev</t>
  </si>
  <si>
    <t xml:space="preserve">market cap</t>
  </si>
  <si>
    <t xml:space="preserve">total debt</t>
  </si>
  <si>
    <t xml:space="preserve">share capital</t>
  </si>
  <si>
    <t xml:space="preserve">minority interest</t>
  </si>
  <si>
    <t xml:space="preserve">cash and cash equivalents</t>
  </si>
  <si>
    <t xml:space="preserve">% change</t>
  </si>
  <si>
    <t xml:space="preserve">%change</t>
  </si>
  <si>
    <t xml:space="preserve">Trend/Average change</t>
  </si>
  <si>
    <t xml:space="preserve">EV/ EBITDA</t>
  </si>
  <si>
    <t xml:space="preserve">Non-current assets</t>
  </si>
  <si>
    <t xml:space="preserve">ebitda</t>
  </si>
  <si>
    <t xml:space="preserve">operating income </t>
  </si>
  <si>
    <t xml:space="preserve">depreciatoon</t>
  </si>
  <si>
    <t xml:space="preserve">tax</t>
  </si>
  <si>
    <t xml:space="preserve">Construction contracts</t>
  </si>
  <si>
    <t xml:space="preserve">Loans to joint ventures</t>
  </si>
  <si>
    <t xml:space="preserve">Investment in joint ventures</t>
  </si>
  <si>
    <t xml:space="preserve">Inventories</t>
  </si>
  <si>
    <t xml:space="preserve">VALUATION</t>
  </si>
  <si>
    <t xml:space="preserve">Investments</t>
  </si>
  <si>
    <t xml:space="preserve">Metric</t>
  </si>
  <si>
    <t xml:space="preserve">FY2026</t>
  </si>
  <si>
    <t xml:space="preserve">FY2025</t>
  </si>
  <si>
    <t xml:space="preserve">FY2024</t>
  </si>
  <si>
    <t xml:space="preserve">Property, plant and equipment</t>
  </si>
  <si>
    <t xml:space="preserve">EV (R)</t>
  </si>
  <si>
    <t xml:space="preserve">—</t>
  </si>
  <si>
    <t xml:space="preserve">Investment property</t>
  </si>
  <si>
    <t xml:space="preserve">Market Cap (R)</t>
  </si>
  <si>
    <t xml:space="preserve">Intangible assets</t>
  </si>
  <si>
    <t xml:space="preserve">EV/EBITDA (x)</t>
  </si>
  <si>
    <t xml:space="preserve">11.79x</t>
  </si>
  <si>
    <t xml:space="preserve">Deferred tax asset</t>
  </si>
  <si>
    <t xml:space="preserve">P/E Ratio (x)</t>
  </si>
  <si>
    <t xml:space="preserve">2.57x</t>
  </si>
  <si>
    <t xml:space="preserve">2.50x</t>
  </si>
  <si>
    <t xml:space="preserve">2.25x</t>
  </si>
  <si>
    <t xml:space="preserve">Total non-current assets</t>
  </si>
  <si>
    <t xml:space="preserve">EPS Basic (cents)</t>
  </si>
  <si>
    <t xml:space="preserve">167.4c</t>
  </si>
  <si>
    <t xml:space="preserve">171.7c</t>
  </si>
  <si>
    <t xml:space="preserve">191.1c</t>
  </si>
  <si>
    <t xml:space="preserve">PROFITABILITY</t>
  </si>
  <si>
    <t xml:space="preserve">Current assets</t>
  </si>
  <si>
    <t xml:space="preserve">Trend</t>
  </si>
  <si>
    <t xml:space="preserve">Cash and cash equivalents</t>
  </si>
  <si>
    <t xml:space="preserve">Revenue (R)</t>
  </si>
  <si>
    <t xml:space="preserve">Bottoming</t>
  </si>
  <si>
    <t xml:space="preserve">Trade and other receivables</t>
  </si>
  <si>
    <t xml:space="preserve">Revenue Growth</t>
  </si>
  <si>
    <t xml:space="preserve">Stabilising</t>
  </si>
  <si>
    <t xml:space="preserve">Current income tax assets</t>
  </si>
  <si>
    <t xml:space="preserve">Gross Profit (R)</t>
  </si>
  <si>
    <t xml:space="preserve">Declining</t>
  </si>
  <si>
    <t xml:space="preserve">Total current assets</t>
  </si>
  <si>
    <t xml:space="preserve">Gross Margin</t>
  </si>
  <si>
    <t xml:space="preserve">Stable</t>
  </si>
  <si>
    <t xml:space="preserve">Operating Profit (R)</t>
  </si>
  <si>
    <t xml:space="preserve">Total assets</t>
  </si>
  <si>
    <t xml:space="preserve">Operating Margin</t>
  </si>
  <si>
    <t xml:space="preserve">Net Profit (R)</t>
  </si>
  <si>
    <t xml:space="preserve">Equity</t>
  </si>
  <si>
    <t xml:space="preserve">Net Margin</t>
  </si>
  <si>
    <t xml:space="preserve">Stated capital</t>
  </si>
  <si>
    <t xml:space="preserve">EBITDA (R)</t>
  </si>
  <si>
    <t xml:space="preserve">Share-based payment reserve</t>
  </si>
  <si>
    <t xml:space="preserve">LEVERAGE</t>
  </si>
  <si>
    <t xml:space="preserve">Retained income</t>
  </si>
  <si>
    <t xml:space="preserve">Equity attributable to owners</t>
  </si>
  <si>
    <t xml:space="preserve">Non-Current Borrowings (R)</t>
  </si>
  <si>
    <t xml:space="preserve">Rising</t>
  </si>
  <si>
    <t xml:space="preserve">Non-controlling interests</t>
  </si>
  <si>
    <t xml:space="preserve">Current Borrowings (R)</t>
  </si>
  <si>
    <t xml:space="preserve">Total equity</t>
  </si>
  <si>
    <t xml:space="preserve">Total Debt (R)</t>
  </si>
  <si>
    <t xml:space="preserve">Cash (R)</t>
  </si>
  <si>
    <t xml:space="preserve">Non-current liabilities</t>
  </si>
  <si>
    <t xml:space="preserve">Net Debt (R)</t>
  </si>
  <si>
    <t xml:space="preserve">Borrowings (non-current)</t>
  </si>
  <si>
    <t xml:space="preserve">Net Debt/EBITDA (x)</t>
  </si>
  <si>
    <t xml:space="preserve">5.77x</t>
  </si>
  <si>
    <t xml:space="preserve">Elevated</t>
  </si>
  <si>
    <t xml:space="preserve">Deferred tax liability</t>
  </si>
  <si>
    <t xml:space="preserve">Debt/Equity (x)</t>
  </si>
  <si>
    <t xml:space="preserve">0.88x</t>
  </si>
  <si>
    <t xml:space="preserve">0.77x</t>
  </si>
  <si>
    <t xml:space="preserve">Maintenance provision</t>
  </si>
  <si>
    <t xml:space="preserve">Total Equity (R)</t>
  </si>
  <si>
    <t xml:space="preserve">Growing</t>
  </si>
  <si>
    <t xml:space="preserve">Total non-current liabilities</t>
  </si>
  <si>
    <t xml:space="preserve">LIQUIDITY</t>
  </si>
  <si>
    <t xml:space="preserve">Current liabilities</t>
  </si>
  <si>
    <t xml:space="preserve">Current Assets (R)</t>
  </si>
  <si>
    <t xml:space="preserve">Trade and other payables</t>
  </si>
  <si>
    <t xml:space="preserve">Current Liabilities (R)</t>
  </si>
  <si>
    <t xml:space="preserve">Current income tax liabilities</t>
  </si>
  <si>
    <t xml:space="preserve">Current Ratio (x)</t>
  </si>
  <si>
    <t xml:space="preserve">2.02x</t>
  </si>
  <si>
    <t xml:space="preserve">4.17x</t>
  </si>
  <si>
    <t xml:space="preserve">5.58x</t>
  </si>
  <si>
    <t xml:space="preserve">Current portion of borrowings</t>
  </si>
  <si>
    <t xml:space="preserve">Quick Ratio (x)</t>
  </si>
  <si>
    <t xml:space="preserve">0.87x</t>
  </si>
  <si>
    <t xml:space="preserve">Below 1x</t>
  </si>
  <si>
    <t xml:space="preserve">Total current liabilities</t>
  </si>
  <si>
    <t xml:space="preserve">Finance Income (R)</t>
  </si>
  <si>
    <t xml:space="preserve">Finance Costs (R)</t>
  </si>
  <si>
    <t xml:space="preserve">Improving</t>
  </si>
  <si>
    <t xml:space="preserve">Total liabilities</t>
  </si>
  <si>
    <t xml:space="preserve">Net Finance Position (R)</t>
  </si>
  <si>
    <t xml:space="preserve">Total equity and liabilities</t>
  </si>
  <si>
    <t xml:space="preserve">Interest Coverage (x)</t>
  </si>
  <si>
    <t xml:space="preserve">3.93x</t>
  </si>
  <si>
    <t xml:space="preserve">2.75x</t>
  </si>
  <si>
    <t xml:space="preserve">4.35x</t>
  </si>
  <si>
    <t xml:space="preserve">Recovering</t>
  </si>
  <si>
    <t xml:space="preserve">ASSET QUALITY</t>
  </si>
  <si>
    <t xml:space="preserve">Calgro M3 — Statement of Comprehensive Income</t>
  </si>
  <si>
    <t xml:space="preserve">Total Assets (R)</t>
  </si>
  <si>
    <t xml:space="preserve">Revenue</t>
  </si>
  <si>
    <t xml:space="preserve">Construction Contracts (R)</t>
  </si>
  <si>
    <t xml:space="preserve">Cost of sales</t>
  </si>
  <si>
    <t xml:space="preserve">Inventory (R)</t>
  </si>
  <si>
    <t xml:space="preserve">Gross profit</t>
  </si>
  <si>
    <t xml:space="preserve">Combined Development Assets (R)</t>
  </si>
  <si>
    <t xml:space="preserve">Other income</t>
  </si>
  <si>
    <t xml:space="preserve">Development Assets/Total Assets</t>
  </si>
  <si>
    <t xml:space="preserve">Administrative expenses</t>
  </si>
  <si>
    <t xml:space="preserve">Intangible Assets (R)</t>
  </si>
  <si>
    <t xml:space="preserve">Flat</t>
  </si>
  <si>
    <t xml:space="preserve">Other expenses</t>
  </si>
  <si>
    <t xml:space="preserve">Total Equity to Owners (R)</t>
  </si>
  <si>
    <t xml:space="preserve">Expected credit losses</t>
  </si>
  <si>
    <t xml:space="preserve">Tangible NAV (R)</t>
  </si>
  <si>
    <t xml:space="preserve">Operating profit</t>
  </si>
  <si>
    <t xml:space="preserve">Tangible NAV per Share (cents)</t>
  </si>
  <si>
    <t xml:space="preserve">[INSERT]</t>
  </si>
  <si>
    <t xml:space="preserve">Finance income</t>
  </si>
  <si>
    <t xml:space="preserve">Market Price (cents)</t>
  </si>
  <si>
    <t xml:space="preserve">430c</t>
  </si>
  <si>
    <t xml:space="preserve">Finance costs</t>
  </si>
  <si>
    <t xml:space="preserve">Discount to Tangible NAV</t>
  </si>
  <si>
    <t xml:space="preserve">[INSERT]%</t>
  </si>
  <si>
    <t xml:space="preserve">Share of profit of JV — net of tax</t>
  </si>
  <si>
    <t xml:space="preserve">RETURNS</t>
  </si>
  <si>
    <t xml:space="preserve">Profit before tax</t>
  </si>
  <si>
    <t xml:space="preserve">Taxation</t>
  </si>
  <si>
    <t xml:space="preserve">Return on Equity</t>
  </si>
  <si>
    <t xml:space="preserve">Profit after taxation</t>
  </si>
  <si>
    <t xml:space="preserve">Return on Assets</t>
  </si>
  <si>
    <t xml:space="preserve">INTEREST RATE SENSITIVITY</t>
  </si>
  <si>
    <t xml:space="preserve">Total comprehensive income</t>
  </si>
  <si>
    <t xml:space="preserve">Repo Rate</t>
  </si>
  <si>
    <t xml:space="preserve">vs Current</t>
  </si>
  <si>
    <t xml:space="preserve">Est. Interest Coverage</t>
  </si>
  <si>
    <t xml:space="preserve">R800k Monthly Bond</t>
  </si>
  <si>
    <t xml:space="preserve">— Owners of the parent</t>
  </si>
  <si>
    <t xml:space="preserve">R[INSERT]</t>
  </si>
  <si>
    <t xml:space="preserve">— Non-controlling interests</t>
  </si>
  <si>
    <t xml:space="preserve">Base</t>
  </si>
  <si>
    <t xml:space="preserve">EPS — basic (cents)</t>
  </si>
  <si>
    <t xml:space="preserve">EPS — diluted (cents)</t>
  </si>
  <si>
    <t xml:space="preserve">The only cells needing manual completion are the NAV per share rows — you need the share count from your notes to calculate those — and the interest rate sensitivity monthly bond figures which you can pull from a bond calculator using a 20-year term. Everything else is calculated directly from your financial statements.</t>
  </si>
  <si>
    <t xml:space="preserve">Cumaltive 10year CGR Outlay</t>
  </si>
  <si>
    <t xml:space="preserve">Project</t>
  </si>
  <si>
    <t xml:space="preserve">Bankenveld</t>
  </si>
  <si>
    <t xml:space="preserve">Inflow </t>
  </si>
  <si>
    <t xml:space="preserve">Outflow</t>
  </si>
  <si>
    <t xml:space="preserve">Memorial Parks</t>
  </si>
  <si>
    <t xml:space="preserve">Make the bar graphs show which portion belongs to which for the cumlative graph</t>
  </si>
  <si>
    <t xml:space="preserve">Other IRD</t>
  </si>
  <si>
    <t xml:space="preserve">Net inflow</t>
  </si>
  <si>
    <t xml:space="preserve">use for graphs</t>
  </si>
  <si>
    <t xml:space="preserve">Net outflow</t>
  </si>
  <si>
    <t xml:space="preserve">Net flow</t>
  </si>
  <si>
    <t xml:space="preserve">Cumulative flow</t>
  </si>
  <si>
    <t xml:space="preserve">FCF margin (after tax)</t>
  </si>
  <si>
    <t xml:space="preserve">Quick check</t>
  </si>
  <si>
    <t xml:space="preserve">Sum </t>
  </si>
  <si>
    <t xml:space="preserve">Variance</t>
  </si>
  <si>
    <t xml:space="preserve">Projects as a percentage of business over time</t>
  </si>
  <si>
    <t xml:space="preserve">Bankenveld Outlay</t>
  </si>
  <si>
    <t xml:space="preserve">Joint venture with Eris Property Fund </t>
  </si>
  <si>
    <t xml:space="preserve">Between 20000 and 25000 residential opportunities – of which CGR obtains 100% of the residential revenue </t>
  </si>
  <si>
    <t xml:space="preserve">Capex is split due to JV with Eris</t>
  </si>
  <si>
    <t xml:space="preserve">Only edit the pink blocks the rest is dynamic</t>
  </si>
  <si>
    <t xml:space="preserve">Assumptions (R’000s)</t>
  </si>
  <si>
    <t xml:space="preserve">Year </t>
  </si>
  <si>
    <t xml:space="preserve">[Note 1]</t>
  </si>
  <si>
    <t xml:space="preserve">Arbitrarily place assumptions here and it’ll calculate the % below</t>
  </si>
  <si>
    <t xml:space="preserve">use whole numbers</t>
  </si>
  <si>
    <t xml:space="preserve">Revenue recognition (% of total residential based revenue)</t>
  </si>
  <si>
    <t xml:space="preserve">needs to make up 100%</t>
  </si>
  <si>
    <t xml:space="preserve">CAPEX Spend</t>
  </si>
  <si>
    <t xml:space="preserve">[Note 2]</t>
  </si>
  <si>
    <t xml:space="preserve">- Bulk Infrastructure (R158m announced &amp; front loaded)</t>
  </si>
  <si>
    <r>
      <rPr>
        <sz val="11"/>
        <color theme="1"/>
        <rFont val="Calibri"/>
        <family val="2"/>
        <charset val="1"/>
      </rPr>
      <t xml:space="preserve">- Incremetal site operating expenditure </t>
    </r>
    <r>
      <rPr>
        <b val="true"/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Calibri"/>
        <family val="2"/>
        <charset val="1"/>
      </rPr>
      <t xml:space="preserve">security, financing etc</t>
    </r>
    <r>
      <rPr>
        <b val="true"/>
        <sz val="11"/>
        <color theme="1"/>
        <rFont val="Calibri"/>
        <family val="2"/>
        <charset val="1"/>
      </rPr>
      <t xml:space="preserve">)</t>
    </r>
  </si>
  <si>
    <t xml:space="preserve">Capex (R’000’s)</t>
  </si>
  <si>
    <t xml:space="preserve">based on Calgro’s historical cost margin</t>
  </si>
  <si>
    <t xml:space="preserve">Total Project estimates (R’000)</t>
  </si>
  <si>
    <t xml:space="preserve">Units</t>
  </si>
  <si>
    <t xml:space="preserve">Price per unit</t>
  </si>
  <si>
    <t xml:space="preserve">Total project revenue (est.)</t>
  </si>
  <si>
    <t xml:space="preserve">CGR Share of Capex (est.)</t>
  </si>
  <si>
    <t xml:space="preserve">Operating Cost (% of Revenue</t>
  </si>
  <si>
    <t xml:space="preserve">-&gt; consider making this decline in later years as costs decrease </t>
  </si>
  <si>
    <t xml:space="preserve">Tax rate (%)</t>
  </si>
  <si>
    <t xml:space="preserve">Revenue realisation drag through working capital</t>
  </si>
  <si>
    <t xml:space="preserve">Net cashflows (J-curve) (R ‘000)</t>
  </si>
  <si>
    <t xml:space="preserve">[=] Project revenue</t>
  </si>
  <si>
    <t xml:space="preserve">[-] Operating costs </t>
  </si>
  <si>
    <t xml:space="preserve">[=] Gross Profit</t>
  </si>
  <si>
    <t xml:space="preserve">[-] CAPEX</t>
  </si>
  <si>
    <t xml:space="preserve">[-] Change in working capital</t>
  </si>
  <si>
    <t xml:space="preserve">[=] Pre-Tax project FCF</t>
  </si>
  <si>
    <t xml:space="preserve">[-] Tax (on GP if positive, else 0)</t>
  </si>
  <si>
    <t xml:space="preserve">[=] After Tax Free-cashflow</t>
  </si>
  <si>
    <t xml:space="preserve">Cumulative Free cashflow (R’ 000s)</t>
  </si>
  <si>
    <t xml:space="preserve">Gross margin (%)</t>
  </si>
  <si>
    <t xml:space="preserve">FCF Margin (pre-tax, %)</t>
  </si>
  <si>
    <t xml:space="preserve">Outflows</t>
  </si>
  <si>
    <t xml:space="preserve">Inflows</t>
  </si>
  <si>
    <t xml:space="preserve">Some notes on what informed my decisions</t>
  </si>
  <si>
    <t xml:space="preserve">[Note 1] Revenue notes</t>
  </si>
  <si>
    <t xml:space="preserve">- infrastructure costs to calgro is specifically R158m in the first two years</t>
  </si>
  <si>
    <t xml:space="preserve">-overall revenue is said to be R18 billion over 15 to 20 years.</t>
  </si>
  <si>
    <t xml:space="preserve">- I believe it will be more given increased mid-term inflation expectations</t>
  </si>
  <si>
    <t xml:space="preserve">-  Assumed revenue captured in 17 years</t>
  </si>
  <si>
    <t xml:space="preserve">- integrated development leads to s curved shaped net inflows</t>
  </si>
  <si>
    <t xml:space="preserve">- assumed 70% of revenue by year 10.</t>
  </si>
  <si>
    <t xml:space="preserve">[Note 2] Capex</t>
  </si>
  <si>
    <t xml:space="preserve">Thinking purely in terms of variable costs </t>
  </si>
  <si>
    <t xml:space="preserve">R158m in infra outlay already announced assumed front loading of capital so roughly 70% y1 and 30% y2.</t>
  </si>
  <si>
    <t xml:space="preserve">Admin costs are incurred regardless so not project specific – non-differnetial</t>
  </si>
  <si>
    <t xml:space="preserve">Debt – realistically drops as project proceeds – cannot reliably tie to the project with current information.</t>
  </si>
  <si>
    <t xml:space="preserve">- land purchase: cost R200m and was bought from Wits is now a sunk cost therefore not relevant</t>
  </si>
  <si>
    <t xml:space="preserve">FY2026 ACTUAL UPDATE (18 May 2026)</t>
  </si>
  <si>
    <t xml:space="preserve">8. WORKING CAPITAL INJECTION (22 May 2026): Added -5% revenue drag row for Working Capital WIP absorption.</t>
  </si>
  <si>
    <t xml:space="preserve">Memorial Parks — J-Curve Model</t>
  </si>
  <si>
    <t xml:space="preserve">Calgro M3 Holdings (CGR.JO) · Annuity-style income stream · 6 parks</t>
  </si>
  <si>
    <t xml:space="preserve">Nasrec, Fourways, Durbanville, Enokuthula, Bloemfontein, Rustenburg (launched Dec 2024)</t>
  </si>
  <si>
    <t xml:space="preserve">Pink cells = editable assumptions</t>
  </si>
  <si>
    <t xml:space="preserve">Assumptions (R'000s)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</si>
  <si>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</si>
  <si>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</si>
  <si>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</si>
  <si>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</si>
  <si>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</si>
  <si>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</si>
  <si>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</si>
  <si>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</si>
  <si>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</si>
  <si>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</si>
  <si>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</si>
  <si>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Revenue recognition (% of steady state revenue)</t>
  </si>
  <si>
    <t xml:space="preserve">Cost spend — incremental site operating exp (%)</t>
  </si>
  <si>
    <t xml:space="preserve">Operating costs (% of revenue)</t>
  </si>
  <si>
    <t xml:space="preserve">Cost as % of revenue</t>
  </si>
  <si>
    <t xml:space="preserve">Total Project Estimates (R'000)</t>
  </si>
  <si>
    <t xml:space="preserve">No of parks</t>
  </si>
  <si>
    <t xml:space="preserve">Maturity revenue each (R'000s)</t>
  </si>
  <si>
    <t xml:space="preserve">Steady-state revenue (all parks) (R'000)</t>
  </si>
  <si>
    <t xml:space="preserve">← Nasrec pulls avg up at 20,026 grave capacity</t>
  </si>
  <si>
    <t xml:space="preserve">Net cashflows (J-curve) (R'000)</t>
  </si>
  <si>
    <t xml:space="preserve">[+] Revenue</t>
  </si>
  <si>
    <t xml:space="preserve">[-] Operating costs</t>
  </si>
  <si>
    <t xml:space="preserve">[=] After Tax FCF</t>
  </si>
  <si>
    <t xml:space="preserve">Cumulative FCF (R'000s)</t>
  </si>
  <si>
    <t xml:space="preserve">Margin Analysis</t>
  </si>
  <si>
    <t xml:space="preserve">FCF Margin (after tax)</t>
  </si>
  <si>
    <t xml:space="preserve">J-Curve Phase</t>
  </si>
  <si>
    <t xml:space="preserve">EXPAND</t>
  </si>
  <si>
    <t xml:space="preserve">RAMP</t>
  </si>
  <si>
    <t xml:space="preserve">GROW</t>
  </si>
  <si>
    <t xml:space="preserve">MATURE</t>
  </si>
  <si>
    <t xml:space="preserve">STEADY</t>
  </si>
  <si>
    <t xml:space="preserve">NOTES</t>
  </si>
  <si>
    <t xml:space="preserve">1. Memorial Parks = Annuity business. Revenue stabilises once park reaches capacity.</t>
  </si>
  <si>
    <t xml:space="preserve">2. Six parks: Nasrec (2014), Fourways (2015), Enokuthula (2020), Durbanville (2019), Bloemfontein (2019), Rustenburg (2024)</t>
  </si>
  <si>
    <t xml:space="preserve">3. Actual FY2026 cash received: Nasrec R48.9M, Fourways R32.9M, Durbanville R18.6M. Total R106.9M.</t>
  </si>
  <si>
    <t xml:space="preserve">   Model 2026 revenue = 70% x R150M = R105M. Calibrated to actual 2026 results within R2M.</t>
  </si>
  <si>
    <t xml:space="preserve">4. Steady state R25M per park x 6 = R150M. Nasrec outlier at R48.9M (20,026 grave capacity).</t>
  </si>
  <si>
    <t xml:space="preserve">5. Cost declines as parks mature (scale). Historical GP: 54.9% (2026), 50.9% (2025).</t>
  </si>
  <si>
    <t xml:space="preserve">FY2026 ACTUAL UPDATE: Revenue R86M (2025: R66M). GP margin 54.9%. Cash collected R106.9M.</t>
  </si>
  <si>
    <t xml:space="preserve">Fleurhof &amp; South Hills &amp; Belhar -J-Curve Model</t>
  </si>
  <si>
    <t xml:space="preserve">Calgro M3 Holdings (CGR.JO) · Active IRD Projects</t>
  </si>
  <si>
    <t xml:space="preserve">Projects: Fleurhof (est. 2009), South Hills (est. 2014), Belhar CBD (est. 2012)</t>
  </si>
  <si>
    <t xml:space="preserve">KEY ASSUMPTIONS</t>
  </si>
  <si>
    <t xml:space="preserve">Revenue Recognition (% of remaining value)</t>
  </si>
  <si>
    <t xml:space="preserve">CAPEX (% of remaining CAPEX) [Note 1]</t>
  </si>
  <si>
    <t xml:space="preserve">Operating Cost (% of Revenue) [Note 3]</t>
  </si>
  <si>
    <t xml:space="preserve">Remaining Project Revenue Calculation</t>
  </si>
  <si>
    <t xml:space="preserve">Cost per unit (R'000s)</t>
  </si>
  <si>
    <t xml:space="preserve">Revenue (R'000s)</t>
  </si>
  <si>
    <t xml:space="preserve">Fleurhof</t>
  </si>
  <si>
    <t xml:space="preserve">South Hills</t>
  </si>
  <si>
    <t xml:space="preserve">Belhar (incl. 225 student equiv)</t>
  </si>
  <si>
    <t xml:space="preserve">4 students = 1 unit (900 beds / 4 = 225 equiv)</t>
  </si>
  <si>
    <t xml:space="preserve">Total Estimates (R'000)</t>
  </si>
  <si>
    <t xml:space="preserve">Remaining revenue (R'000s)</t>
  </si>
  <si>
    <t xml:space="preserve">Remaining CAPEX [Note 1]</t>
  </si>
  <si>
    <t xml:space="preserve">Tax Rate (%)</t>
  </si>
  <si>
    <t xml:space="preserve">Working capital drag % [Note 4]</t>
  </si>
  <si>
    <t xml:space="preserve">[-] Operating Costs</t>
  </si>
  <si>
    <t xml:space="preserve">[-] Change in Working Capital</t>
  </si>
  <si>
    <t xml:space="preserve">[=] Pre-Tax FCF</t>
  </si>
  <si>
    <t xml:space="preserve">[-] Tax (on GP if positive)</t>
  </si>
  <si>
    <t xml:space="preserve">[=] After-Tax FCF</t>
  </si>
  <si>
    <t xml:space="preserve">Cumulative FCF</t>
  </si>
  <si>
    <t xml:space="preserve">Gross margins (%)</t>
  </si>
  <si>
    <t xml:space="preserve">FCF margins (pre-tax, %)</t>
  </si>
  <si>
    <t xml:space="preserve">FCF margins (after tax)</t>
  </si>
  <si>
    <t xml:space="preserve">DELIVER</t>
  </si>
  <si>
    <t xml:space="preserve">PEAK</t>
  </si>
  <si>
    <t xml:space="preserve">DECLINE</t>
  </si>
  <si>
    <t xml:space="preserve">TAIL</t>
  </si>
  <si>
    <t xml:space="preserve">Note 1: CAPEX -R450M total remaining. Conservative given bulk infra substantially complete on all three projects.</t>
  </si>
  <si>
    <t xml:space="preserve">Front-loaded as more servicing needed early. ~5% of revenue is reasonable for mature IRD.</t>
  </si>
  <si>
    <t xml:space="preserve">Note 2: ASPs sourced directly from CGR 2026 IR pipeline table (CEO/CFO message):</t>
  </si>
  <si>
    <t xml:space="preserve">  Fleurhof 4785 units @ R900K = R4.306B | South Hills 4495 @ R680K = R3.057B (mgmt optimism discount applied)</t>
  </si>
  <si>
    <t xml:space="preserve">  Belhar 1309 units + 900 student beds (÷4 = 225 equiv) = 1534 units @ R640K = R982M. Total: R8.344B</t>
  </si>
  <si>
    <t xml:space="preserve">Note 3: Operating costs rise in tail -fixed overhead spread over smaller batch sizes</t>
  </si>
  <si>
    <t xml:space="preserve">Note 4: 5% working capital  drag -supported by FY2026 actual operating CF of -R99M as BDC absorbs cash</t>
  </si>
  <si>
    <t xml:space="preserve">FY2026 ACTUAL UPDATE: Fleurhof 4785 units remaining. South Hills 4495 remaining.</t>
  </si>
  <si>
    <t xml:space="preserve">1377 under construction (down from 1543). Sales-led approach adopted -construction moderated.</t>
  </si>
  <si>
    <t xml:space="preserve">CORRECTED (22 May 2026): Pipeline scaled to R8.344B from AFS. working capital  drag injected. Extended to FY2035.</t>
  </si>
  <si>
    <t xml:space="preserve">2025-02-28</t>
  </si>
  <si>
    <t xml:space="preserve">2024-02-29</t>
  </si>
  <si>
    <t xml:space="preserve">2023-02-28</t>
  </si>
  <si>
    <t xml:space="preserve">2022-02-28</t>
  </si>
  <si>
    <t xml:space="preserve">Treasury Shares Number</t>
  </si>
  <si>
    <t xml:space="preserve">Ordinary Shares Number</t>
  </si>
  <si>
    <t xml:space="preserve">Share Issued</t>
  </si>
  <si>
    <t xml:space="preserve">Net Debt</t>
  </si>
  <si>
    <t xml:space="preserve">Total Debt</t>
  </si>
  <si>
    <t xml:space="preserve">Tangible Book Value</t>
  </si>
  <si>
    <t xml:space="preserve">Invested Capital</t>
  </si>
  <si>
    <t xml:space="preserve">Working Capital</t>
  </si>
  <si>
    <t xml:space="preserve">Net Tangible Assets</t>
  </si>
  <si>
    <t xml:space="preserve">Capital Lease Obligations</t>
  </si>
  <si>
    <t xml:space="preserve">Common Stock Equity</t>
  </si>
  <si>
    <t xml:space="preserve">Total Capitalization</t>
  </si>
  <si>
    <t xml:space="preserve">Total Equity Gross Minority Interest</t>
  </si>
  <si>
    <t xml:space="preserve">Minority Interest</t>
  </si>
  <si>
    <t xml:space="preserve">Stockholders Equity</t>
  </si>
  <si>
    <t xml:space="preserve">Other Equity Interest</t>
  </si>
  <si>
    <t xml:space="preserve">Retained Earnings</t>
  </si>
  <si>
    <t xml:space="preserve">Capital Stock</t>
  </si>
  <si>
    <t xml:space="preserve">Common Stock</t>
  </si>
  <si>
    <t xml:space="preserve">Total Liabilities Net Minority Interest</t>
  </si>
  <si>
    <t xml:space="preserve">Total Non Current Liabilities Net Minority Interest</t>
  </si>
  <si>
    <t xml:space="preserve">Other Non Current Liabilities</t>
  </si>
  <si>
    <t xml:space="preserve">Non Current Pension And Other Postretirement Benefit Plans</t>
  </si>
  <si>
    <t xml:space="preserve">Non Current Deferred Taxes Liabilities</t>
  </si>
  <si>
    <t xml:space="preserve">Long Term Debt And Capital Lease Obligation</t>
  </si>
  <si>
    <t xml:space="preserve">Long Term Capital Lease Obligation</t>
  </si>
  <si>
    <t xml:space="preserve">Long Term Debt</t>
  </si>
  <si>
    <t xml:space="preserve">Current Liabilities</t>
  </si>
  <si>
    <t xml:space="preserve">Other Current Liabilities</t>
  </si>
  <si>
    <t xml:space="preserve">Current Debt And Capital Lease Obligation</t>
  </si>
  <si>
    <t xml:space="preserve">Current Capital Lease Obligation</t>
  </si>
  <si>
    <t xml:space="preserve">Current Debt</t>
  </si>
  <si>
    <t xml:space="preserve">Pensionand Other Post Retirement Benefit Plans Current</t>
  </si>
  <si>
    <t xml:space="preserve">Current Provisions</t>
  </si>
  <si>
    <t xml:space="preserve">Payables</t>
  </si>
  <si>
    <t xml:space="preserve">Other Payable</t>
  </si>
  <si>
    <t xml:space="preserve">Dividends Payable</t>
  </si>
  <si>
    <t xml:space="preserve">Total Tax Payable</t>
  </si>
  <si>
    <t xml:space="preserve">Accounts Payable</t>
  </si>
  <si>
    <t xml:space="preserve">Total Assets</t>
  </si>
  <si>
    <t xml:space="preserve">Total Non Current Assets</t>
  </si>
  <si>
    <t xml:space="preserve">Other Non Current Assets</t>
  </si>
  <si>
    <t xml:space="preserve">Non Current Deferred Taxes Assets</t>
  </si>
  <si>
    <t xml:space="preserve">Other Investments</t>
  </si>
  <si>
    <t xml:space="preserve">Investmentin Financial Assets</t>
  </si>
  <si>
    <t xml:space="preserve">Financial Assets Designatedas Fair Value Through Profitor Loss Total</t>
  </si>
  <si>
    <t xml:space="preserve">Long Term Equity Investment</t>
  </si>
  <si>
    <t xml:space="preserve">Investmentsin Joint Venturesat Cost</t>
  </si>
  <si>
    <t xml:space="preserve">Investment Properties</t>
  </si>
  <si>
    <t xml:space="preserve">Goodwill And Other Intangible Assets</t>
  </si>
  <si>
    <t xml:space="preserve">Other Intangible Assets</t>
  </si>
  <si>
    <t xml:space="preserve">Goodwill</t>
  </si>
  <si>
    <t xml:space="preserve">Net PPE</t>
  </si>
  <si>
    <t xml:space="preserve">Accumulated Depreciation</t>
  </si>
  <si>
    <t xml:space="preserve">Gross PPE</t>
  </si>
  <si>
    <t xml:space="preserve">Other Properties</t>
  </si>
  <si>
    <t xml:space="preserve">Machinery Furniture Equipment</t>
  </si>
  <si>
    <t xml:space="preserve">Buildings And Improvements</t>
  </si>
  <si>
    <t xml:space="preserve">Land And Improvements</t>
  </si>
  <si>
    <t xml:space="preserve">Properties</t>
  </si>
  <si>
    <t xml:space="preserve">Current Assets</t>
  </si>
  <si>
    <t xml:space="preserve">Prepaid Assets</t>
  </si>
  <si>
    <t xml:space="preserve">Inventory</t>
  </si>
  <si>
    <t xml:space="preserve">Finished Goods</t>
  </si>
  <si>
    <t xml:space="preserve">Other Receivables</t>
  </si>
  <si>
    <t xml:space="preserve">Taxes Receivable</t>
  </si>
  <si>
    <t xml:space="preserve">Accounts Receivable</t>
  </si>
  <si>
    <t xml:space="preserve">Cash Cash Equivalents And Short Term Investments</t>
  </si>
  <si>
    <t xml:space="preserve">Cash And Cash Equivalents</t>
  </si>
  <si>
    <t xml:space="preserve">Cash Financial</t>
  </si>
  <si>
    <t xml:space="preserve">This is in rands</t>
  </si>
  <si>
    <t xml:space="preserve">Free Cash Flow</t>
  </si>
  <si>
    <t xml:space="preserve">Repurchase Of Capital Stock</t>
  </si>
  <si>
    <t xml:space="preserve">Repayment Of Debt</t>
  </si>
  <si>
    <t xml:space="preserve">Issuance Of Debt</t>
  </si>
  <si>
    <t xml:space="preserve">Capital Expenditure</t>
  </si>
  <si>
    <t xml:space="preserve">End Cash Position</t>
  </si>
  <si>
    <t xml:space="preserve">Beginning Cash Position</t>
  </si>
  <si>
    <t xml:space="preserve">Changes In Cash</t>
  </si>
  <si>
    <t xml:space="preserve">Financing Cash Flow</t>
  </si>
  <si>
    <t xml:space="preserve">Net Other Financing Charges</t>
  </si>
  <si>
    <t xml:space="preserve">Cash Dividends Paid</t>
  </si>
  <si>
    <t xml:space="preserve">Net Common Stock Issuance</t>
  </si>
  <si>
    <t xml:space="preserve">Common Stock Payments</t>
  </si>
  <si>
    <t xml:space="preserve">Net Issuance Payments Of Debt</t>
  </si>
  <si>
    <t xml:space="preserve">Net Long Term Debt Issuance</t>
  </si>
  <si>
    <t xml:space="preserve">Long Term Debt Payments</t>
  </si>
  <si>
    <t xml:space="preserve">Long Term Debt Issuance</t>
  </si>
  <si>
    <t xml:space="preserve">Investing Cash Flow</t>
  </si>
  <si>
    <t xml:space="preserve">Net Investment Purchase And Sale</t>
  </si>
  <si>
    <t xml:space="preserve">Purchase Of Investment</t>
  </si>
  <si>
    <t xml:space="preserve">Net Investment Properties Purchase And Sale</t>
  </si>
  <si>
    <t xml:space="preserve">Purchase Of Investment Properties</t>
  </si>
  <si>
    <t xml:space="preserve">Net Business Purchase And Sale</t>
  </si>
  <si>
    <t xml:space="preserve">Sale Of Business</t>
  </si>
  <si>
    <t xml:space="preserve">Purchase Of Business</t>
  </si>
  <si>
    <t xml:space="preserve">Net PPE Purchase And Sale</t>
  </si>
  <si>
    <t xml:space="preserve">Sale Of PPE</t>
  </si>
  <si>
    <t xml:space="preserve">Purchase Of PPE</t>
  </si>
  <si>
    <t xml:space="preserve">Operating Cash Flow</t>
  </si>
  <si>
    <t xml:space="preserve">Taxes Refund Paid</t>
  </si>
  <si>
    <t xml:space="preserve">Interest Received Cfo</t>
  </si>
  <si>
    <t xml:space="preserve">Interest Paid Cfo</t>
  </si>
  <si>
    <t xml:space="preserve">Change In Working Capital</t>
  </si>
  <si>
    <t xml:space="preserve">Change In Payable</t>
  </si>
  <si>
    <t xml:space="preserve">Change In Inventory</t>
  </si>
  <si>
    <t xml:space="preserve">Change In Receivables</t>
  </si>
  <si>
    <t xml:space="preserve">Other Non Cash Items</t>
  </si>
  <si>
    <t xml:space="preserve">Stock Based Compensation</t>
  </si>
  <si>
    <t xml:space="preserve">Provisionand Write Offof Assets</t>
  </si>
  <si>
    <t xml:space="preserve">Depreciation And Amortization</t>
  </si>
  <si>
    <t xml:space="preserve">Depreciation</t>
  </si>
  <si>
    <t xml:space="preserve">Gain Loss On Investment Securities</t>
  </si>
  <si>
    <t xml:space="preserve">Gain Loss On Sale Of PPE</t>
  </si>
  <si>
    <t xml:space="preserve">Gain Loss On Sale Of Business</t>
  </si>
  <si>
    <t xml:space="preserve">Net Income From Continuing Operations</t>
  </si>
  <si>
    <t xml:space="preserve">Date</t>
  </si>
  <si>
    <t xml:space="preserve">Close</t>
  </si>
  <si>
    <t xml:space="preserve">period</t>
  </si>
  <si>
    <t xml:space="preserve">stockTrend</t>
  </si>
  <si>
    <t xml:space="preserve">indexTrend</t>
  </si>
  <si>
    <t xml:space="preserve">0q</t>
  </si>
  <si>
    <t xml:space="preserve">+1q</t>
  </si>
  <si>
    <t xml:space="preserve">0y</t>
  </si>
  <si>
    <t xml:space="preserve">+1y</t>
  </si>
  <si>
    <t xml:space="preserve">LTG</t>
  </si>
  <si>
    <t xml:space="preserve">Tax Effect Of Unusual Items</t>
  </si>
  <si>
    <t xml:space="preserve">Tax Rate For Calcs</t>
  </si>
  <si>
    <t xml:space="preserve">Normalized EBITDA</t>
  </si>
  <si>
    <t xml:space="preserve">Total Unusual Items</t>
  </si>
  <si>
    <t xml:space="preserve">Total Unusual Items Excluding Goodwill</t>
  </si>
  <si>
    <t xml:space="preserve">Net Income From Continuing Operation Net Minority Interest</t>
  </si>
  <si>
    <t xml:space="preserve">Reconciled Depreciation</t>
  </si>
  <si>
    <t xml:space="preserve">Reconciled Cost Of Revenue</t>
  </si>
  <si>
    <t xml:space="preserve">EBITDA</t>
  </si>
  <si>
    <t xml:space="preserve">EBIT</t>
  </si>
  <si>
    <t xml:space="preserve">Net Interest Income</t>
  </si>
  <si>
    <t xml:space="preserve">Interest Expense</t>
  </si>
  <si>
    <t xml:space="preserve">Interest Income</t>
  </si>
  <si>
    <t xml:space="preserve">Normalized Income</t>
  </si>
  <si>
    <t xml:space="preserve">Net Income From Continuing And Discontinued Operation</t>
  </si>
  <si>
    <t xml:space="preserve">Total Expenses</t>
  </si>
  <si>
    <t xml:space="preserve">Rent Expense Supplemental</t>
  </si>
  <si>
    <t xml:space="preserve">Diluted Average Shares</t>
  </si>
  <si>
    <t xml:space="preserve">Basic Average Shares</t>
  </si>
  <si>
    <t xml:space="preserve">Diluted EPS</t>
  </si>
  <si>
    <t xml:space="preserve">Basic EPS</t>
  </si>
  <si>
    <t xml:space="preserve">Diluted NI Availto Com Stockholders</t>
  </si>
  <si>
    <t xml:space="preserve">Net Income Common Stockholders</t>
  </si>
  <si>
    <t xml:space="preserve">Otherunder Preferred Stock Dividend</t>
  </si>
  <si>
    <t xml:space="preserve">Net Income</t>
  </si>
  <si>
    <t xml:space="preserve">Minority Interests</t>
  </si>
  <si>
    <t xml:space="preserve">Net Income Including Noncontrolling Interests</t>
  </si>
  <si>
    <t xml:space="preserve">Net Income Continuous Operations</t>
  </si>
  <si>
    <t xml:space="preserve">Tax Provision</t>
  </si>
  <si>
    <t xml:space="preserve">Pretax Income</t>
  </si>
  <si>
    <t xml:space="preserve">Other Non Operating Income Expenses</t>
  </si>
  <si>
    <t xml:space="preserve">Special Income Charges</t>
  </si>
  <si>
    <t xml:space="preserve">Other Special Charges</t>
  </si>
  <si>
    <t xml:space="preserve">Write Off</t>
  </si>
  <si>
    <t xml:space="preserve">Restructuring And Mergern Acquisition</t>
  </si>
  <si>
    <t xml:space="preserve">Net Non Operating Interest Income Expense</t>
  </si>
  <si>
    <t xml:space="preserve">Total Other Finance Cost</t>
  </si>
  <si>
    <t xml:space="preserve">Interest Expense Non Operating</t>
  </si>
  <si>
    <t xml:space="preserve">Interest Income Non Operating</t>
  </si>
  <si>
    <t xml:space="preserve">Operating Income</t>
  </si>
  <si>
    <t xml:space="preserve">Operating Expense</t>
  </si>
  <si>
    <t xml:space="preserve">Other Operating Expenses</t>
  </si>
  <si>
    <t xml:space="preserve">Depreciation And Amortization In Income Statement</t>
  </si>
  <si>
    <t xml:space="preserve">Depreciation Income Statement</t>
  </si>
  <si>
    <t xml:space="preserve">Selling General And Administration</t>
  </si>
  <si>
    <t xml:space="preserve">Selling And Marketing Expense</t>
  </si>
  <si>
    <t xml:space="preserve">General And Administrative Expense</t>
  </si>
  <si>
    <t xml:space="preserve">Rent And Landing Fees</t>
  </si>
  <si>
    <t xml:space="preserve">Gross Profit</t>
  </si>
  <si>
    <t xml:space="preserve">Cost Of Revenue</t>
  </si>
  <si>
    <t xml:space="preserve">Total Revenue</t>
  </si>
  <si>
    <t xml:space="preserve">Operating Revenue</t>
  </si>
  <si>
    <t xml:space="preserve">Its in rand</t>
  </si>
  <si>
    <t xml:space="preserve">Price (ZAc)</t>
  </si>
  <si>
    <t xml:space="preserve">current</t>
  </si>
  <si>
    <t xml:space="preserve">high</t>
  </si>
  <si>
    <t xml:space="preserve">low</t>
  </si>
  <si>
    <t xml:space="preserve">mean</t>
  </si>
  <si>
    <t xml:space="preserve">median</t>
  </si>
  <si>
    <t xml:space="preserve">strongBuy</t>
  </si>
  <si>
    <t xml:space="preserve">buy</t>
  </si>
  <si>
    <t xml:space="preserve">hold</t>
  </si>
  <si>
    <t xml:space="preserve">sell</t>
  </si>
  <si>
    <t xml:space="preserve">strongSell</t>
  </si>
  <si>
    <t xml:space="preserve">0m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</si>
</sst>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"/>
    <numFmt numFmtId="167" formatCode="#,##0.00"/>
    <numFmt numFmtId="168" formatCode="0"/>
    <numFmt numFmtId="169" formatCode="#,##0;\(#,##0\);\-"/>
    <numFmt numFmtId="170" formatCode="yyyy\-mm\-dd"/>
    <numFmt numFmtId="171" formatCode="yyyy\-mm\-dd\ hh:mm:ss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u val="single"/>
      <sz val="11"/>
      <color theme="1"/>
      <name val="Calibri"/>
      <family val="2"/>
      <charset val="1"/>
    </font>
    <font>
      <b val="true"/>
      <sz val="16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color theme="1"/>
      <name val="Calibri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70C0"/>
      <name val="Cambria"/>
      <family val="0"/>
      <charset val="1"/>
    </font>
    <font>
      <b val="true"/>
      <sz val="12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FF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i val="true"/>
      <sz val="8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b val="true"/>
      <sz val="16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0000"/>
      <name val="Calibri"/>
      <family val="0"/>
      <charset val="1"/>
    </font>
    <font>
      <i val="true"/>
      <sz val="11"/>
      <color rgb="FF000000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theme="8" tint="0.7999"/>
        <bgColor rgb="FFCCFFFF"/>
      </patternFill>
    </fill>
    <fill>
      <patternFill patternType="solid">
        <fgColor rgb="FFB4C7DC"/>
        <bgColor rgb="FFB7DEE8"/>
      </patternFill>
    </fill>
    <fill>
      <patternFill patternType="solid">
        <fgColor rgb="FFFFDBB6"/>
        <bgColor rgb="FFFFC7CE"/>
      </patternFill>
    </fill>
    <fill>
      <patternFill patternType="solid">
        <fgColor theme="8" tint="0.5999"/>
        <bgColor rgb="FFC6EFCE"/>
      </patternFill>
    </fill>
    <fill>
      <patternFill patternType="solid">
        <fgColor theme="5" tint="0.5999"/>
        <bgColor rgb="FFFFC7CE"/>
      </patternFill>
    </fill>
    <fill>
      <patternFill patternType="solid">
        <fgColor theme="0"/>
        <bgColor rgb="FFDBEEF4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5" fillId="5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6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5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6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1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9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9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C7CE"/>
      <rgbColor rgb="FFDBEEF4"/>
      <rgbColor rgb="FF660066"/>
      <rgbColor rgb="FFFF8080"/>
      <rgbColor rgb="FF0070C0"/>
      <rgbColor rgb="FFB7DEE8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E6B9B8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69"/>
  <sheetViews>
    <sheetView showFormulas="false" showGridLines="true" showRowColHeaders="true" showZeros="true" rightToLeft="false" tabSelected="false" showOutlineSymbols="true" defaultGridColor="true" view="normal" topLeftCell="A33" colorId="64" zoomScale="73" zoomScaleNormal="73" zoomScalePageLayoutView="100" workbookViewId="0">
      <selection pane="topLeft" activeCell="P12" activeCellId="0" sqref="P12"/>
    </sheetView>
  </sheetViews>
  <sheetFormatPr defaultColWidth="10.14453125" defaultRowHeight="15" customHeight="tru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4.43"/>
    <col collapsed="false" customWidth="true" hidden="false" outlineLevel="0" max="4" min="4" style="1" width="9.57"/>
    <col collapsed="false" customWidth="true" hidden="false" outlineLevel="0" max="5" min="5" style="0" width="14.43"/>
    <col collapsed="false" customWidth="true" hidden="false" outlineLevel="0" max="6" min="6" style="1" width="9"/>
    <col collapsed="false" customWidth="true" hidden="false" outlineLevel="0" max="7" min="7" style="0" width="14.43"/>
    <col collapsed="false" customWidth="true" hidden="false" outlineLevel="0" max="8" min="8" style="0" width="21.86"/>
    <col collapsed="false" customWidth="true" hidden="false" outlineLevel="0" max="9" min="9" style="0" width="6.29"/>
    <col collapsed="false" customWidth="true" hidden="false" outlineLevel="0" max="13" min="13" style="0" width="35.15"/>
    <col collapsed="false" customWidth="true" hidden="false" outlineLevel="0" max="14" min="14" style="0" width="13.71"/>
    <col collapsed="false" customWidth="true" hidden="false" outlineLevel="0" max="15" min="15" style="0" width="20.86"/>
    <col collapsed="false" customWidth="true" hidden="false" outlineLevel="0" max="16" min="16" style="0" width="20.14"/>
    <col collapsed="false" customWidth="true" hidden="false" outlineLevel="0" max="17" min="17" style="0" width="17.14"/>
    <col collapsed="false" customWidth="true" hidden="false" outlineLevel="0" max="18" min="18" style="0" width="12.86"/>
    <col collapsed="false" customWidth="true" hidden="false" outlineLevel="0" max="19" min="19" style="0" width="12.29"/>
    <col collapsed="false" customWidth="true" hidden="false" outlineLevel="0" max="20" min="20" style="0" width="15.86"/>
    <col collapsed="false" customWidth="true" hidden="false" outlineLevel="0" max="21" min="21" style="0" width="24.14"/>
  </cols>
  <sheetData>
    <row r="2" customFormat="false" ht="15.75" hidden="false" customHeight="true" outlineLevel="0" collapsed="false">
      <c r="B2" s="2" t="s">
        <v>0</v>
      </c>
      <c r="C2" s="2"/>
      <c r="D2" s="2"/>
      <c r="E2" s="2"/>
      <c r="F2" s="2"/>
      <c r="G2" s="2"/>
      <c r="H2" s="3"/>
      <c r="I2" s="0" t="s">
        <v>1</v>
      </c>
      <c r="M2" s="0" t="s">
        <v>2</v>
      </c>
      <c r="P2" s="0" t="s">
        <v>3</v>
      </c>
      <c r="Q2" s="0" t="s">
        <v>4</v>
      </c>
      <c r="R2" s="0" t="s">
        <v>5</v>
      </c>
      <c r="S2" s="0" t="s">
        <v>6</v>
      </c>
      <c r="T2" s="0" t="s">
        <v>7</v>
      </c>
      <c r="U2" s="0" t="s">
        <v>8</v>
      </c>
    </row>
    <row r="3" customFormat="false" ht="16.4" hidden="false" customHeight="false" outlineLevel="0" collapsed="false">
      <c r="B3" s="4"/>
      <c r="C3" s="5" t="n">
        <v>2026</v>
      </c>
      <c r="D3" s="6" t="s">
        <v>9</v>
      </c>
      <c r="E3" s="7" t="n">
        <v>2025</v>
      </c>
      <c r="F3" s="6" t="s">
        <v>10</v>
      </c>
      <c r="G3" s="7" t="n">
        <v>2024</v>
      </c>
      <c r="H3" s="8" t="s">
        <v>11</v>
      </c>
      <c r="M3" s="0" t="s">
        <v>12</v>
      </c>
      <c r="N3" s="0" t="n">
        <f aca="false">P3/Q5</f>
        <v>11.7922092424175</v>
      </c>
      <c r="P3" s="0" t="n">
        <f aca="false">SUM(Q3:T3) - U3</f>
        <v>2448074030</v>
      </c>
      <c r="Q3" s="0" t="n">
        <v>480480000</v>
      </c>
      <c r="R3" s="0" t="n">
        <f aca="false">C44</f>
        <v>2119679186</v>
      </c>
      <c r="S3" s="0" t="n">
        <f aca="false">C25</f>
        <v>28389249</v>
      </c>
      <c r="T3" s="0" t="n">
        <f aca="false">C29</f>
        <v>3248556</v>
      </c>
      <c r="U3" s="0" t="n">
        <f aca="false">C17</f>
        <v>183722961</v>
      </c>
    </row>
    <row r="4" customFormat="false" ht="16.4" hidden="false" customHeight="false" outlineLevel="0" collapsed="false">
      <c r="B4" s="9" t="s">
        <v>13</v>
      </c>
      <c r="C4" s="10"/>
      <c r="H4" s="11"/>
      <c r="P4" s="0" t="s">
        <v>14</v>
      </c>
      <c r="Q4" s="0" t="s">
        <v>15</v>
      </c>
      <c r="R4" s="0" t="s">
        <v>16</v>
      </c>
      <c r="S4" s="0" t="s">
        <v>17</v>
      </c>
    </row>
    <row r="5" customFormat="false" ht="16.4" hidden="false" customHeight="false" outlineLevel="0" collapsed="false">
      <c r="B5" s="12" t="s">
        <v>18</v>
      </c>
      <c r="C5" s="12" t="n">
        <v>2107206825</v>
      </c>
      <c r="D5" s="13" t="n">
        <f aca="false">(C5-E5)/E5</f>
        <v>0.263099041512097</v>
      </c>
      <c r="E5" s="14" t="n">
        <v>1668283132</v>
      </c>
      <c r="F5" s="13" t="n">
        <f aca="false">(E5-G5)/G5</f>
        <v>0.230855882074271</v>
      </c>
      <c r="G5" s="14" t="n">
        <v>1355384620</v>
      </c>
      <c r="H5" s="15" t="n">
        <f aca="false">(D5+F5)/2</f>
        <v>0.246977461793184</v>
      </c>
      <c r="Q5" s="0" t="n">
        <f aca="false">C60-C54</f>
        <v>207600966</v>
      </c>
    </row>
    <row r="6" customFormat="false" ht="16.4" hidden="false" customHeight="false" outlineLevel="0" collapsed="false">
      <c r="B6" s="12" t="s">
        <v>19</v>
      </c>
      <c r="C6" s="12" t="n">
        <v>387466009</v>
      </c>
      <c r="D6" s="13" t="n">
        <f aca="false">(C6-E6)/E6</f>
        <v>-0.181428328331446</v>
      </c>
      <c r="E6" s="14" t="n">
        <v>473344024</v>
      </c>
      <c r="F6" s="13" t="n">
        <f aca="false">(E6-G6)/G6</f>
        <v>0.176237112098487</v>
      </c>
      <c r="G6" s="14" t="n">
        <v>402422283</v>
      </c>
      <c r="H6" s="15" t="n">
        <f aca="false">(D6+F6)/2</f>
        <v>-0.00259560811647973</v>
      </c>
    </row>
    <row r="7" customFormat="false" ht="30.75" hidden="false" customHeight="false" outlineLevel="0" collapsed="false">
      <c r="B7" s="12" t="s">
        <v>20</v>
      </c>
      <c r="C7" s="12" t="n">
        <v>148981026</v>
      </c>
      <c r="D7" s="13" t="n">
        <f aca="false">(C7-E7)/E7</f>
        <v>0.0905568194856288</v>
      </c>
      <c r="E7" s="14" t="n">
        <v>136610054</v>
      </c>
      <c r="F7" s="13" t="n">
        <f aca="false">(E7-G7)/G7</f>
        <v>0.999525272110092</v>
      </c>
      <c r="G7" s="14" t="n">
        <v>68321244</v>
      </c>
      <c r="H7" s="15" t="n">
        <f aca="false">(D7+F7)/2</f>
        <v>0.545041045797861</v>
      </c>
    </row>
    <row r="8" customFormat="false" ht="16.4" hidden="false" customHeight="false" outlineLevel="0" collapsed="false">
      <c r="B8" s="12" t="s">
        <v>21</v>
      </c>
      <c r="C8" s="12" t="n">
        <v>456368002</v>
      </c>
      <c r="D8" s="13" t="n">
        <f aca="false">(C8-E8)/E8</f>
        <v>-0.121639550939031</v>
      </c>
      <c r="E8" s="14" t="n">
        <v>519568023</v>
      </c>
      <c r="F8" s="13" t="n">
        <f aca="false">(E8-G8)/G8</f>
        <v>0.0321478907698386</v>
      </c>
      <c r="G8" s="14" t="n">
        <v>503385249</v>
      </c>
      <c r="H8" s="15" t="n">
        <f aca="false">(D8+F8)/2</f>
        <v>-0.0447458300845961</v>
      </c>
      <c r="M8" s="16" t="s">
        <v>22</v>
      </c>
    </row>
    <row r="9" customFormat="false" ht="16.4" hidden="false" customHeight="false" outlineLevel="0" collapsed="false">
      <c r="B9" s="12" t="s">
        <v>23</v>
      </c>
      <c r="C9" s="12" t="n">
        <v>20669356</v>
      </c>
      <c r="D9" s="13" t="n">
        <f aca="false">(C9-E9)/E9</f>
        <v>0.0767269190637654</v>
      </c>
      <c r="E9" s="14" t="n">
        <v>19196470</v>
      </c>
      <c r="F9" s="13" t="n">
        <f aca="false">(E9-G9)/G9</f>
        <v>0.144724357827207</v>
      </c>
      <c r="G9" s="14" t="n">
        <v>16769513</v>
      </c>
      <c r="H9" s="15" t="n">
        <f aca="false">(D9+F9)/2</f>
        <v>0.110725638445486</v>
      </c>
      <c r="M9" s="16" t="s">
        <v>24</v>
      </c>
      <c r="N9" s="16" t="s">
        <v>25</v>
      </c>
      <c r="O9" s="16" t="s">
        <v>26</v>
      </c>
      <c r="P9" s="16" t="s">
        <v>27</v>
      </c>
    </row>
    <row r="10" customFormat="false" ht="30.75" hidden="false" customHeight="false" outlineLevel="0" collapsed="false">
      <c r="B10" s="12" t="s">
        <v>28</v>
      </c>
      <c r="C10" s="12" t="n">
        <v>22798883</v>
      </c>
      <c r="D10" s="13" t="n">
        <f aca="false">(C10-E10)/E10</f>
        <v>-0.121264976373011</v>
      </c>
      <c r="E10" s="14" t="n">
        <v>25945117</v>
      </c>
      <c r="F10" s="13" t="n">
        <f aca="false">(E10-G10)/G10</f>
        <v>-0.111123851973411</v>
      </c>
      <c r="G10" s="14" t="n">
        <v>29188675</v>
      </c>
      <c r="H10" s="15" t="n">
        <f aca="false">(D10+F10)/2</f>
        <v>-0.116194414173211</v>
      </c>
      <c r="M10" s="0" t="s">
        <v>29</v>
      </c>
      <c r="N10" s="17" t="n">
        <f aca="false">P3</f>
        <v>2448074030</v>
      </c>
      <c r="O10" s="0" t="s">
        <v>30</v>
      </c>
      <c r="P10" s="0" t="s">
        <v>30</v>
      </c>
    </row>
    <row r="11" customFormat="false" ht="16.4" hidden="false" customHeight="false" outlineLevel="0" collapsed="false">
      <c r="B11" s="12" t="s">
        <v>31</v>
      </c>
      <c r="C11" s="12" t="n">
        <v>32497786</v>
      </c>
      <c r="D11" s="13" t="n">
        <f aca="false">(C11-E11)/E11</f>
        <v>0.444802666300447</v>
      </c>
      <c r="E11" s="14" t="n">
        <v>22492889</v>
      </c>
      <c r="F11" s="13" t="n">
        <f aca="false">(E11-G11)/G11</f>
        <v>0.0156136984310942</v>
      </c>
      <c r="G11" s="14" t="n">
        <v>22147091</v>
      </c>
      <c r="H11" s="15" t="n">
        <f aca="false">(D11+F11)/2</f>
        <v>0.230208182365771</v>
      </c>
      <c r="M11" s="0" t="s">
        <v>32</v>
      </c>
      <c r="N11" s="17" t="n">
        <v>411000000</v>
      </c>
      <c r="O11" s="0" t="s">
        <v>30</v>
      </c>
      <c r="P11" s="0" t="s">
        <v>30</v>
      </c>
    </row>
    <row r="12" customFormat="false" ht="16.4" hidden="false" customHeight="false" outlineLevel="0" collapsed="false">
      <c r="B12" s="12" t="s">
        <v>33</v>
      </c>
      <c r="C12" s="12" t="n">
        <v>159650517</v>
      </c>
      <c r="D12" s="13" t="n">
        <f aca="false">(C12-E12)/E12</f>
        <v>0</v>
      </c>
      <c r="E12" s="14" t="n">
        <v>159650517</v>
      </c>
      <c r="F12" s="13" t="n">
        <f aca="false">(E12-G12)/G12</f>
        <v>-1.0648257524776E-007</v>
      </c>
      <c r="G12" s="14" t="n">
        <v>159650534</v>
      </c>
      <c r="H12" s="15" t="n">
        <f aca="false">(D12+F12)/2</f>
        <v>-5.32412876238798E-008</v>
      </c>
      <c r="M12" s="0" t="s">
        <v>34</v>
      </c>
      <c r="N12" s="0" t="s">
        <v>35</v>
      </c>
      <c r="O12" s="0" t="s">
        <v>30</v>
      </c>
      <c r="P12" s="0" t="s">
        <v>30</v>
      </c>
    </row>
    <row r="13" customFormat="false" ht="16.4" hidden="false" customHeight="false" outlineLevel="0" collapsed="false">
      <c r="B13" s="12" t="s">
        <v>36</v>
      </c>
      <c r="C13" s="12" t="n">
        <v>10128435</v>
      </c>
      <c r="D13" s="13" t="n">
        <f aca="false">(C13-E13)/E13</f>
        <v>-0.108650000686437</v>
      </c>
      <c r="E13" s="14" t="n">
        <v>11363028</v>
      </c>
      <c r="F13" s="13" t="n">
        <f aca="false">(E13-G13)/G13</f>
        <v>-0.275386595571445</v>
      </c>
      <c r="G13" s="14" t="n">
        <v>15681504</v>
      </c>
      <c r="H13" s="15" t="n">
        <f aca="false">(D13+F13)/2</f>
        <v>-0.192018298128941</v>
      </c>
      <c r="M13" s="0" t="s">
        <v>37</v>
      </c>
      <c r="N13" s="0" t="s">
        <v>38</v>
      </c>
      <c r="O13" s="0" t="s">
        <v>39</v>
      </c>
      <c r="P13" s="0" t="s">
        <v>40</v>
      </c>
    </row>
    <row r="14" customFormat="false" ht="16.4" hidden="false" customHeight="false" outlineLevel="0" collapsed="false">
      <c r="B14" s="9" t="s">
        <v>41</v>
      </c>
      <c r="C14" s="9" t="n">
        <v>2889398837</v>
      </c>
      <c r="D14" s="13" t="n">
        <f aca="false">(C14-E14)/E14</f>
        <v>1.07577325224926</v>
      </c>
      <c r="E14" s="18" t="n">
        <v>1391962650</v>
      </c>
      <c r="F14" s="13" t="n">
        <f aca="false">(E14-G14)/G14</f>
        <v>0.201701242298812</v>
      </c>
      <c r="G14" s="18" t="n">
        <v>1158326713</v>
      </c>
      <c r="H14" s="15" t="n">
        <f aca="false">(D14+F14)/2</f>
        <v>0.638737247274037</v>
      </c>
      <c r="M14" s="0" t="s">
        <v>42</v>
      </c>
      <c r="N14" s="0" t="s">
        <v>43</v>
      </c>
      <c r="O14" s="0" t="s">
        <v>44</v>
      </c>
      <c r="P14" s="0" t="s">
        <v>45</v>
      </c>
    </row>
    <row r="15" customFormat="false" ht="15" hidden="false" customHeight="false" outlineLevel="0" collapsed="false">
      <c r="B15" s="10"/>
      <c r="C15" s="10"/>
      <c r="D15" s="13"/>
      <c r="F15" s="13"/>
      <c r="H15" s="15"/>
      <c r="M15" s="16" t="s">
        <v>46</v>
      </c>
    </row>
    <row r="16" customFormat="false" ht="16.4" hidden="false" customHeight="false" outlineLevel="0" collapsed="false">
      <c r="B16" s="9" t="s">
        <v>47</v>
      </c>
      <c r="C16" s="10"/>
      <c r="D16" s="13"/>
      <c r="F16" s="13"/>
      <c r="H16" s="15"/>
      <c r="M16" s="16" t="s">
        <v>24</v>
      </c>
      <c r="N16" s="16" t="s">
        <v>25</v>
      </c>
      <c r="O16" s="16" t="s">
        <v>26</v>
      </c>
      <c r="P16" s="16" t="s">
        <v>27</v>
      </c>
      <c r="Q16" s="16" t="s">
        <v>48</v>
      </c>
    </row>
    <row r="17" customFormat="false" ht="16.4" hidden="false" customHeight="false" outlineLevel="0" collapsed="false">
      <c r="B17" s="12" t="s">
        <v>49</v>
      </c>
      <c r="C17" s="12" t="n">
        <v>183722961</v>
      </c>
      <c r="D17" s="13" t="n">
        <f aca="false">(C17-E17)/E17</f>
        <v>0.187435049458051</v>
      </c>
      <c r="E17" s="14" t="n">
        <v>154722535</v>
      </c>
      <c r="F17" s="13" t="n">
        <f aca="false">(E17-G17)/G17</f>
        <v>0.261619632626003</v>
      </c>
      <c r="G17" s="14" t="n">
        <v>122638021</v>
      </c>
      <c r="H17" s="15" t="n">
        <f aca="false">(D17+F17)/2</f>
        <v>0.224527341042027</v>
      </c>
      <c r="M17" s="0" t="s">
        <v>50</v>
      </c>
      <c r="N17" s="17" t="n">
        <v>893174205</v>
      </c>
      <c r="O17" s="17" t="n">
        <v>868906517</v>
      </c>
      <c r="P17" s="17" t="n">
        <v>1290864982</v>
      </c>
      <c r="Q17" s="0" t="s">
        <v>51</v>
      </c>
    </row>
    <row r="18" customFormat="false" ht="30.75" hidden="false" customHeight="false" outlineLevel="0" collapsed="false">
      <c r="B18" s="12" t="s">
        <v>52</v>
      </c>
      <c r="C18" s="12" t="n">
        <v>159624687</v>
      </c>
      <c r="D18" s="13" t="n">
        <f aca="false">(C18-E18)/E18</f>
        <v>0.93008636127145</v>
      </c>
      <c r="E18" s="14" t="n">
        <v>82703391</v>
      </c>
      <c r="F18" s="13" t="n">
        <f aca="false">(E18-G18)/G18</f>
        <v>-0.410985441702602</v>
      </c>
      <c r="G18" s="14" t="n">
        <v>140409757</v>
      </c>
      <c r="H18" s="15" t="n">
        <f aca="false">(D18+F18)/2</f>
        <v>0.259550459784424</v>
      </c>
      <c r="M18" s="0" t="s">
        <v>53</v>
      </c>
      <c r="N18" s="1" t="n">
        <v>0.028</v>
      </c>
      <c r="O18" s="1" t="n">
        <v>-0.327</v>
      </c>
      <c r="P18" s="0" t="s">
        <v>30</v>
      </c>
      <c r="Q18" s="0" t="s">
        <v>54</v>
      </c>
    </row>
    <row r="19" customFormat="false" ht="16.4" hidden="false" customHeight="false" outlineLevel="0" collapsed="false">
      <c r="B19" s="12" t="s">
        <v>55</v>
      </c>
      <c r="C19" s="12" t="n">
        <v>1743347</v>
      </c>
      <c r="D19" s="13" t="n">
        <f aca="false">(C19-E19)/E19</f>
        <v>5.038255454303</v>
      </c>
      <c r="E19" s="14" t="n">
        <v>288717</v>
      </c>
      <c r="F19" s="13" t="n">
        <f aca="false">(E19-G19)/G19</f>
        <v>0.360287777919123</v>
      </c>
      <c r="G19" s="14" t="n">
        <v>212247</v>
      </c>
      <c r="H19" s="15" t="n">
        <f aca="false">(D19+F19)/2</f>
        <v>2.69927161611106</v>
      </c>
      <c r="M19" s="0" t="s">
        <v>56</v>
      </c>
      <c r="N19" s="17" t="n">
        <v>242913300</v>
      </c>
      <c r="O19" s="17" t="n">
        <v>255720011</v>
      </c>
      <c r="P19" s="17" t="n">
        <v>351316861</v>
      </c>
      <c r="Q19" s="0" t="s">
        <v>57</v>
      </c>
    </row>
    <row r="20" customFormat="false" ht="16.4" hidden="false" customHeight="false" outlineLevel="0" collapsed="false">
      <c r="B20" s="9" t="s">
        <v>58</v>
      </c>
      <c r="C20" s="9" t="n">
        <v>801458997</v>
      </c>
      <c r="D20" s="13" t="n">
        <f aca="false">(C20-E20)/E20</f>
        <v>-0.574191497830842</v>
      </c>
      <c r="E20" s="18" t="n">
        <v>1882205247</v>
      </c>
      <c r="F20" s="13" t="n">
        <f aca="false">(E20-G20)/G20</f>
        <v>0.12177314936889</v>
      </c>
      <c r="G20" s="18" t="n">
        <v>1677884025</v>
      </c>
      <c r="H20" s="15" t="n">
        <f aca="false">(D20+F20)/2</f>
        <v>-0.226209174230976</v>
      </c>
      <c r="M20" s="0" t="s">
        <v>59</v>
      </c>
      <c r="N20" s="1" t="n">
        <v>0.272</v>
      </c>
      <c r="O20" s="1" t="n">
        <v>0.294</v>
      </c>
      <c r="P20" s="1" t="n">
        <v>0.272</v>
      </c>
      <c r="Q20" s="0" t="s">
        <v>60</v>
      </c>
    </row>
    <row r="21" customFormat="false" ht="15" hidden="false" customHeight="false" outlineLevel="0" collapsed="false">
      <c r="B21" s="10"/>
      <c r="C21" s="10"/>
      <c r="D21" s="13"/>
      <c r="F21" s="13"/>
      <c r="H21" s="15"/>
      <c r="M21" s="0" t="s">
        <v>61</v>
      </c>
      <c r="N21" s="17" t="n">
        <v>171049317</v>
      </c>
      <c r="O21" s="17" t="n">
        <v>165720201</v>
      </c>
      <c r="P21" s="17" t="n">
        <v>259056503</v>
      </c>
      <c r="Q21" s="0" t="s">
        <v>57</v>
      </c>
    </row>
    <row r="22" customFormat="false" ht="16.4" hidden="false" customHeight="false" outlineLevel="0" collapsed="false">
      <c r="B22" s="9" t="s">
        <v>62</v>
      </c>
      <c r="C22" s="9" t="n">
        <v>3690857834</v>
      </c>
      <c r="D22" s="13" t="n">
        <f aca="false">(C22-E22)/E22</f>
        <v>0.127265903920748</v>
      </c>
      <c r="E22" s="18" t="n">
        <v>3274167897</v>
      </c>
      <c r="F22" s="13" t="n">
        <f aca="false">(E22-G22)/G22</f>
        <v>0.154416296762501</v>
      </c>
      <c r="G22" s="18" t="n">
        <v>2836210738</v>
      </c>
      <c r="H22" s="15" t="n">
        <f aca="false">(D22+F22)/2</f>
        <v>0.140841100341625</v>
      </c>
      <c r="M22" s="0" t="s">
        <v>63</v>
      </c>
      <c r="N22" s="1" t="n">
        <v>0.191</v>
      </c>
      <c r="O22" s="1" t="n">
        <v>0.191</v>
      </c>
      <c r="P22" s="1" t="n">
        <v>0.201</v>
      </c>
      <c r="Q22" s="0" t="s">
        <v>60</v>
      </c>
    </row>
    <row r="23" customFormat="false" ht="15" hidden="false" customHeight="false" outlineLevel="0" collapsed="false">
      <c r="B23" s="10"/>
      <c r="C23" s="10"/>
      <c r="D23" s="13"/>
      <c r="F23" s="13"/>
      <c r="H23" s="15"/>
      <c r="M23" s="0" t="s">
        <v>64</v>
      </c>
      <c r="N23" s="17" t="n">
        <v>160230003</v>
      </c>
      <c r="O23" s="17" t="n">
        <v>166115884</v>
      </c>
      <c r="P23" s="17" t="n">
        <v>195865219</v>
      </c>
      <c r="Q23" s="0" t="s">
        <v>57</v>
      </c>
    </row>
    <row r="24" customFormat="false" ht="16.4" hidden="false" customHeight="false" outlineLevel="0" collapsed="false">
      <c r="B24" s="9" t="s">
        <v>65</v>
      </c>
      <c r="C24" s="10"/>
      <c r="D24" s="13"/>
      <c r="F24" s="13"/>
      <c r="H24" s="15"/>
      <c r="M24" s="0" t="s">
        <v>66</v>
      </c>
      <c r="N24" s="1" t="n">
        <v>0.179</v>
      </c>
      <c r="O24" s="1" t="n">
        <v>0.191</v>
      </c>
      <c r="P24" s="1" t="n">
        <v>0.152</v>
      </c>
      <c r="Q24" s="0" t="s">
        <v>60</v>
      </c>
    </row>
    <row r="25" customFormat="false" ht="16.4" hidden="false" customHeight="false" outlineLevel="0" collapsed="false">
      <c r="B25" s="12" t="s">
        <v>67</v>
      </c>
      <c r="C25" s="12" t="n">
        <v>28389249</v>
      </c>
      <c r="D25" s="13" t="n">
        <f aca="false">(C25-E25)/E25</f>
        <v>-0.162797246541589</v>
      </c>
      <c r="E25" s="14" t="n">
        <v>33909646</v>
      </c>
      <c r="F25" s="13" t="n">
        <f aca="false">(E25-G25)/G25</f>
        <v>0.0727473273096039</v>
      </c>
      <c r="G25" s="14" t="n">
        <v>31610096</v>
      </c>
      <c r="H25" s="15" t="n">
        <f aca="false">(D25+F25)/2</f>
        <v>-0.0450249596159925</v>
      </c>
      <c r="M25" s="0" t="s">
        <v>68</v>
      </c>
      <c r="N25" s="17" t="n">
        <v>207600966</v>
      </c>
      <c r="O25" s="0" t="s">
        <v>30</v>
      </c>
      <c r="P25" s="0" t="s">
        <v>30</v>
      </c>
      <c r="Q25" s="0" t="s">
        <v>30</v>
      </c>
    </row>
    <row r="26" customFormat="false" ht="30.75" hidden="false" customHeight="false" outlineLevel="0" collapsed="false">
      <c r="B26" s="12" t="s">
        <v>69</v>
      </c>
      <c r="C26" s="12" t="n">
        <v>-1540004</v>
      </c>
      <c r="D26" s="13" t="n">
        <f aca="false">(C26-E26)/E26</f>
        <v>-4.17070931053723</v>
      </c>
      <c r="E26" s="14" t="n">
        <v>485697</v>
      </c>
      <c r="F26" s="13" t="n">
        <f aca="false">(E26-G26)/G26</f>
        <v>0.33744823104375</v>
      </c>
      <c r="G26" s="14" t="n">
        <v>363152</v>
      </c>
      <c r="H26" s="15" t="n">
        <f aca="false">(D26+F26)/2</f>
        <v>-1.91663053974674</v>
      </c>
      <c r="M26" s="16" t="s">
        <v>70</v>
      </c>
    </row>
    <row r="27" customFormat="false" ht="16.4" hidden="false" customHeight="false" outlineLevel="0" collapsed="false">
      <c r="B27" s="12" t="s">
        <v>71</v>
      </c>
      <c r="C27" s="12" t="n">
        <v>1541080847</v>
      </c>
      <c r="D27" s="13" t="n">
        <f aca="false">(C27-E27)/E27</f>
        <v>0.103904889627576</v>
      </c>
      <c r="E27" s="14" t="n">
        <v>1396026833</v>
      </c>
      <c r="F27" s="13" t="n">
        <f aca="false">(E27-G27)/G27</f>
        <v>0.124112412745994</v>
      </c>
      <c r="G27" s="14" t="n">
        <v>1241892552</v>
      </c>
      <c r="H27" s="15" t="n">
        <f aca="false">(D27+F27)/2</f>
        <v>0.114008651186785</v>
      </c>
      <c r="M27" s="16" t="s">
        <v>24</v>
      </c>
      <c r="N27" s="16" t="s">
        <v>25</v>
      </c>
      <c r="O27" s="16" t="s">
        <v>26</v>
      </c>
      <c r="P27" s="16" t="s">
        <v>27</v>
      </c>
      <c r="Q27" s="16" t="s">
        <v>48</v>
      </c>
    </row>
    <row r="28" customFormat="false" ht="30.75" hidden="false" customHeight="false" outlineLevel="0" collapsed="false">
      <c r="B28" s="12" t="s">
        <v>72</v>
      </c>
      <c r="C28" s="12" t="n">
        <v>1567930092</v>
      </c>
      <c r="D28" s="13" t="n">
        <f aca="false">(C28-E28)/E28</f>
        <v>0.0961310012576315</v>
      </c>
      <c r="E28" s="14" t="n">
        <v>1430422176</v>
      </c>
      <c r="F28" s="13" t="n">
        <f aca="false">(E28-G28)/G28</f>
        <v>0.122898641285448</v>
      </c>
      <c r="G28" s="14" t="n">
        <v>1273865800</v>
      </c>
      <c r="H28" s="15" t="n">
        <f aca="false">(D28+F28)/2</f>
        <v>0.10951482127154</v>
      </c>
      <c r="M28" s="0" t="s">
        <v>73</v>
      </c>
      <c r="N28" s="17" t="n">
        <v>1247291293</v>
      </c>
      <c r="O28" s="17" t="n">
        <v>965722194</v>
      </c>
      <c r="P28" s="17" t="n">
        <v>934796142</v>
      </c>
      <c r="Q28" s="0" t="s">
        <v>74</v>
      </c>
    </row>
    <row r="29" customFormat="false" ht="16.4" hidden="false" customHeight="false" outlineLevel="0" collapsed="false">
      <c r="B29" s="12" t="s">
        <v>75</v>
      </c>
      <c r="C29" s="12" t="n">
        <v>3248556</v>
      </c>
      <c r="D29" s="13" t="n">
        <f aca="false">(C29-E29)/E29</f>
        <v>-0.00153708694822313</v>
      </c>
      <c r="E29" s="14" t="n">
        <v>3253557</v>
      </c>
      <c r="F29" s="13" t="n">
        <f aca="false">(E29-G29)/G29</f>
        <v>3.88759847132839</v>
      </c>
      <c r="G29" s="14" t="n">
        <v>665676</v>
      </c>
      <c r="H29" s="15" t="n">
        <f aca="false">(D29+F29)/2</f>
        <v>1.94303069219009</v>
      </c>
      <c r="M29" s="0" t="s">
        <v>76</v>
      </c>
      <c r="N29" s="17" t="n">
        <v>133000000</v>
      </c>
      <c r="O29" s="17" t="n">
        <v>140000000</v>
      </c>
      <c r="P29" s="0" t="s">
        <v>30</v>
      </c>
      <c r="Q29" s="0" t="s">
        <v>60</v>
      </c>
    </row>
    <row r="30" customFormat="false" ht="16.4" hidden="false" customHeight="false" outlineLevel="0" collapsed="false">
      <c r="B30" s="9" t="s">
        <v>77</v>
      </c>
      <c r="C30" s="9" t="n">
        <v>1571178648</v>
      </c>
      <c r="D30" s="13" t="n">
        <f aca="false">(C30-E30)/E30</f>
        <v>0.0959093551177517</v>
      </c>
      <c r="E30" s="18" t="n">
        <v>1433675733</v>
      </c>
      <c r="F30" s="13" t="n">
        <f aca="false">(E30-G30)/G30</f>
        <v>0.124864909181733</v>
      </c>
      <c r="G30" s="18" t="n">
        <v>1274531476</v>
      </c>
      <c r="H30" s="15" t="n">
        <f aca="false">(D30+F30)/2</f>
        <v>0.110387132149742</v>
      </c>
      <c r="M30" s="0" t="s">
        <v>78</v>
      </c>
      <c r="N30" s="17" t="n">
        <v>1380291293</v>
      </c>
      <c r="O30" s="17" t="n">
        <v>1105722194</v>
      </c>
      <c r="P30" s="0" t="s">
        <v>30</v>
      </c>
      <c r="Q30" s="0" t="s">
        <v>74</v>
      </c>
    </row>
    <row r="31" customFormat="false" ht="15" hidden="false" customHeight="false" outlineLevel="0" collapsed="false">
      <c r="B31" s="10"/>
      <c r="C31" s="10"/>
      <c r="D31" s="13"/>
      <c r="F31" s="13"/>
      <c r="H31" s="15"/>
      <c r="M31" s="0" t="s">
        <v>79</v>
      </c>
      <c r="N31" s="17" t="n">
        <v>183722961</v>
      </c>
      <c r="O31" s="17" t="n">
        <v>154722535</v>
      </c>
      <c r="P31" s="17" t="n">
        <v>122638021</v>
      </c>
      <c r="Q31" s="0" t="s">
        <v>74</v>
      </c>
    </row>
    <row r="32" customFormat="false" ht="16.4" hidden="false" customHeight="false" outlineLevel="0" collapsed="false">
      <c r="B32" s="9" t="s">
        <v>80</v>
      </c>
      <c r="C32" s="10"/>
      <c r="D32" s="13"/>
      <c r="F32" s="13"/>
      <c r="H32" s="15"/>
      <c r="M32" s="0" t="s">
        <v>81</v>
      </c>
      <c r="N32" s="17" t="n">
        <v>1196568332</v>
      </c>
      <c r="O32" s="17" t="n">
        <v>951000000</v>
      </c>
      <c r="P32" s="0" t="s">
        <v>30</v>
      </c>
      <c r="Q32" s="0" t="s">
        <v>74</v>
      </c>
    </row>
    <row r="33" customFormat="false" ht="16.4" hidden="false" customHeight="false" outlineLevel="0" collapsed="false">
      <c r="B33" s="12" t="s">
        <v>82</v>
      </c>
      <c r="C33" s="12" t="n">
        <v>1247291293</v>
      </c>
      <c r="D33" s="13" t="n">
        <f aca="false">(C33-E33)/E33</f>
        <v>0.291563247432211</v>
      </c>
      <c r="E33" s="14" t="n">
        <v>965722194</v>
      </c>
      <c r="F33" s="13" t="n">
        <f aca="false">(E33-G33)/G33</f>
        <v>0.0330832045731742</v>
      </c>
      <c r="G33" s="14" t="n">
        <v>934796142</v>
      </c>
      <c r="H33" s="15" t="n">
        <f aca="false">(D33+F33)/2</f>
        <v>0.162323226002693</v>
      </c>
      <c r="M33" s="0" t="s">
        <v>83</v>
      </c>
      <c r="N33" s="0" t="s">
        <v>84</v>
      </c>
      <c r="O33" s="0" t="s">
        <v>30</v>
      </c>
      <c r="P33" s="0" t="s">
        <v>30</v>
      </c>
      <c r="Q33" s="0" t="s">
        <v>85</v>
      </c>
    </row>
    <row r="34" customFormat="false" ht="16.4" hidden="false" customHeight="false" outlineLevel="0" collapsed="false">
      <c r="B34" s="12" t="s">
        <v>86</v>
      </c>
      <c r="C34" s="12" t="n">
        <v>409486025</v>
      </c>
      <c r="D34" s="13" t="n">
        <f aca="false">(C34-E34)/E34</f>
        <v>0.118611370245193</v>
      </c>
      <c r="E34" s="14" t="n">
        <v>366066389</v>
      </c>
      <c r="F34" s="13" t="n">
        <f aca="false">(E34-G34)/G34</f>
        <v>0.122843839894993</v>
      </c>
      <c r="G34" s="14" t="n">
        <v>326017186</v>
      </c>
      <c r="H34" s="15" t="n">
        <f aca="false">(D34+F34)/2</f>
        <v>0.120727605070093</v>
      </c>
      <c r="M34" s="0" t="s">
        <v>87</v>
      </c>
      <c r="N34" s="0" t="s">
        <v>88</v>
      </c>
      <c r="O34" s="0" t="s">
        <v>89</v>
      </c>
      <c r="P34" s="0" t="s">
        <v>30</v>
      </c>
      <c r="Q34" s="0" t="s">
        <v>74</v>
      </c>
    </row>
    <row r="35" customFormat="false" ht="16.4" hidden="false" customHeight="false" outlineLevel="0" collapsed="false">
      <c r="B35" s="12" t="s">
        <v>90</v>
      </c>
      <c r="C35" s="12" t="n">
        <v>66328209</v>
      </c>
      <c r="D35" s="13" t="n">
        <f aca="false">(C35-E35)/E35</f>
        <v>0.149133268859089</v>
      </c>
      <c r="E35" s="14" t="n">
        <v>57720206</v>
      </c>
      <c r="F35" s="13"/>
      <c r="G35" s="14" t="s">
        <v>30</v>
      </c>
      <c r="H35" s="15" t="n">
        <f aca="false">(D35+F35)/2</f>
        <v>0.0745666344295445</v>
      </c>
      <c r="M35" s="0" t="s">
        <v>91</v>
      </c>
      <c r="N35" s="17" t="n">
        <v>1571178648</v>
      </c>
      <c r="O35" s="17" t="n">
        <v>1433675733</v>
      </c>
      <c r="P35" s="17" t="n">
        <v>1274531476</v>
      </c>
      <c r="Q35" s="0" t="s">
        <v>92</v>
      </c>
    </row>
    <row r="36" customFormat="false" ht="30.75" hidden="false" customHeight="false" outlineLevel="0" collapsed="false">
      <c r="B36" s="9" t="s">
        <v>93</v>
      </c>
      <c r="C36" s="9" t="n">
        <v>1723105527</v>
      </c>
      <c r="D36" s="13" t="n">
        <f aca="false">(C36-E36)/E36</f>
        <v>0.240082495800608</v>
      </c>
      <c r="E36" s="18" t="n">
        <v>1389508789</v>
      </c>
      <c r="F36" s="13" t="n">
        <f aca="false">(E36-G36)/G36</f>
        <v>0.102073366565808</v>
      </c>
      <c r="G36" s="18" t="n">
        <v>1260813328</v>
      </c>
      <c r="H36" s="15" t="n">
        <f aca="false">(D36+F36)/2</f>
        <v>0.171077931183208</v>
      </c>
      <c r="M36" s="16" t="s">
        <v>94</v>
      </c>
    </row>
    <row r="37" customFormat="false" ht="15" hidden="false" customHeight="false" outlineLevel="0" collapsed="false">
      <c r="B37" s="10"/>
      <c r="C37" s="10"/>
      <c r="D37" s="13"/>
      <c r="F37" s="13"/>
      <c r="H37" s="15"/>
      <c r="M37" s="16" t="s">
        <v>24</v>
      </c>
      <c r="N37" s="16" t="s">
        <v>25</v>
      </c>
      <c r="O37" s="16" t="s">
        <v>26</v>
      </c>
      <c r="P37" s="16" t="s">
        <v>27</v>
      </c>
      <c r="Q37" s="16" t="s">
        <v>48</v>
      </c>
    </row>
    <row r="38" customFormat="false" ht="16.4" hidden="false" customHeight="false" outlineLevel="0" collapsed="false">
      <c r="B38" s="9" t="s">
        <v>95</v>
      </c>
      <c r="C38" s="10"/>
      <c r="D38" s="13"/>
      <c r="F38" s="13"/>
      <c r="H38" s="15"/>
      <c r="M38" s="0" t="s">
        <v>96</v>
      </c>
      <c r="N38" s="17" t="n">
        <v>801458997</v>
      </c>
      <c r="O38" s="17" t="n">
        <v>1882205247</v>
      </c>
      <c r="P38" s="17" t="n">
        <v>1677884025</v>
      </c>
      <c r="Q38" s="0" t="s">
        <v>57</v>
      </c>
    </row>
    <row r="39" customFormat="false" ht="16.4" hidden="false" customHeight="false" outlineLevel="0" collapsed="false">
      <c r="B39" s="12" t="s">
        <v>97</v>
      </c>
      <c r="C39" s="12" t="n">
        <v>263334249</v>
      </c>
      <c r="D39" s="13"/>
      <c r="E39" s="14" t="n">
        <v>310925099</v>
      </c>
      <c r="F39" s="13" t="n">
        <f aca="false">(E39-G39)/G39</f>
        <v>0.0354339280837725</v>
      </c>
      <c r="G39" s="14" t="n">
        <v>300284828</v>
      </c>
      <c r="H39" s="15" t="n">
        <f aca="false">(D39+F39)/2</f>
        <v>0.0177169640418863</v>
      </c>
      <c r="M39" s="0" t="s">
        <v>98</v>
      </c>
      <c r="N39" s="17" t="n">
        <v>396573659</v>
      </c>
      <c r="O39" s="17" t="n">
        <v>450983375</v>
      </c>
      <c r="P39" s="17" t="n">
        <v>300865934</v>
      </c>
      <c r="Q39" s="0" t="s">
        <v>57</v>
      </c>
    </row>
    <row r="40" customFormat="false" ht="30.75" hidden="false" customHeight="false" outlineLevel="0" collapsed="false">
      <c r="B40" s="12" t="s">
        <v>99</v>
      </c>
      <c r="C40" s="12" t="n">
        <v>239410</v>
      </c>
      <c r="D40" s="13" t="n">
        <f aca="false">(C40-E40)/E40</f>
        <v>3.10820921133915</v>
      </c>
      <c r="E40" s="14" t="n">
        <v>58276</v>
      </c>
      <c r="F40" s="13" t="n">
        <f aca="false">(E40-G40)/G40</f>
        <v>-0.899715370345514</v>
      </c>
      <c r="G40" s="14" t="n">
        <v>581106</v>
      </c>
      <c r="H40" s="15" t="n">
        <f aca="false">(D40+F40)/2</f>
        <v>1.10424692049682</v>
      </c>
      <c r="M40" s="0" t="s">
        <v>100</v>
      </c>
      <c r="N40" s="0" t="s">
        <v>101</v>
      </c>
      <c r="O40" s="0" t="s">
        <v>102</v>
      </c>
      <c r="P40" s="0" t="s">
        <v>103</v>
      </c>
      <c r="Q40" s="0" t="s">
        <v>57</v>
      </c>
    </row>
    <row r="41" customFormat="false" ht="30.75" hidden="false" customHeight="false" outlineLevel="0" collapsed="false">
      <c r="B41" s="12" t="s">
        <v>104</v>
      </c>
      <c r="C41" s="12" t="n">
        <v>133000000</v>
      </c>
      <c r="D41" s="13" t="n">
        <f aca="false">(C41-E41)/E41</f>
        <v>-0.05</v>
      </c>
      <c r="E41" s="14" t="n">
        <v>140000000</v>
      </c>
      <c r="F41" s="13"/>
      <c r="G41" s="14" t="s">
        <v>30</v>
      </c>
      <c r="H41" s="15" t="n">
        <f aca="false">(D41+F41)/2</f>
        <v>-0.025</v>
      </c>
      <c r="M41" s="0" t="s">
        <v>105</v>
      </c>
      <c r="N41" s="0" t="s">
        <v>106</v>
      </c>
      <c r="O41" s="0" t="s">
        <v>30</v>
      </c>
      <c r="P41" s="0" t="s">
        <v>30</v>
      </c>
      <c r="Q41" s="0" t="s">
        <v>107</v>
      </c>
    </row>
    <row r="42" customFormat="false" ht="16.4" hidden="false" customHeight="false" outlineLevel="0" collapsed="false">
      <c r="B42" s="9" t="s">
        <v>108</v>
      </c>
      <c r="C42" s="9" t="n">
        <v>396573659</v>
      </c>
      <c r="D42" s="13" t="n">
        <f aca="false">(C42-E42)/E42</f>
        <v>-0.120646833156544</v>
      </c>
      <c r="E42" s="18" t="n">
        <v>450983375</v>
      </c>
      <c r="F42" s="13" t="n">
        <f aca="false">(E42-G42)/G42</f>
        <v>0.498951273759029</v>
      </c>
      <c r="G42" s="18" t="n">
        <v>300865934</v>
      </c>
      <c r="H42" s="15" t="n">
        <f aca="false">(D42+F42)/2</f>
        <v>0.189152220301243</v>
      </c>
      <c r="M42" s="0" t="s">
        <v>109</v>
      </c>
      <c r="N42" s="17" t="n">
        <v>56062035</v>
      </c>
      <c r="O42" s="17" t="n">
        <v>64252797</v>
      </c>
      <c r="P42" s="17" t="n">
        <v>59799809</v>
      </c>
      <c r="Q42" s="0" t="s">
        <v>60</v>
      </c>
    </row>
    <row r="43" customFormat="false" ht="16.4" hidden="false" customHeight="false" outlineLevel="0" collapsed="false">
      <c r="B43" s="10"/>
      <c r="C43" s="10"/>
      <c r="D43" s="13"/>
      <c r="F43" s="13"/>
      <c r="H43" s="15" t="n">
        <f aca="false">(D43+F43)/2</f>
        <v>0</v>
      </c>
      <c r="M43" s="0" t="s">
        <v>110</v>
      </c>
      <c r="N43" s="17" t="n">
        <v>43493049</v>
      </c>
      <c r="O43" s="17" t="n">
        <v>60303274</v>
      </c>
      <c r="P43" s="17" t="n">
        <v>59524283</v>
      </c>
      <c r="Q43" s="0" t="s">
        <v>111</v>
      </c>
    </row>
    <row r="44" customFormat="false" ht="16.4" hidden="false" customHeight="false" outlineLevel="0" collapsed="false">
      <c r="B44" s="9" t="s">
        <v>112</v>
      </c>
      <c r="C44" s="9" t="n">
        <v>2119679186</v>
      </c>
      <c r="D44" s="13" t="n">
        <f aca="false">(C44-E44)/E44</f>
        <v>0.151691502664827</v>
      </c>
      <c r="E44" s="18" t="n">
        <v>1840492164</v>
      </c>
      <c r="F44" s="13" t="n">
        <f aca="false">(E44-G44)/G44</f>
        <v>0.178534036267429</v>
      </c>
      <c r="G44" s="18" t="n">
        <v>1561679262</v>
      </c>
      <c r="H44" s="15" t="n">
        <f aca="false">(D44+F44)/2</f>
        <v>0.165112769466128</v>
      </c>
      <c r="M44" s="0" t="s">
        <v>113</v>
      </c>
      <c r="N44" s="17" t="n">
        <v>12568986</v>
      </c>
      <c r="O44" s="17" t="n">
        <v>3949523</v>
      </c>
      <c r="P44" s="17" t="n">
        <v>275526</v>
      </c>
      <c r="Q44" s="0" t="s">
        <v>111</v>
      </c>
    </row>
    <row r="45" customFormat="false" ht="31.3" hidden="false" customHeight="false" outlineLevel="0" collapsed="false">
      <c r="B45" s="19" t="s">
        <v>114</v>
      </c>
      <c r="C45" s="19" t="n">
        <v>3690857834</v>
      </c>
      <c r="D45" s="20" t="n">
        <f aca="false">(C45-E45)/E45</f>
        <v>0.127265903920748</v>
      </c>
      <c r="E45" s="21" t="n">
        <v>3274167897</v>
      </c>
      <c r="F45" s="20" t="n">
        <f aca="false">(E45-G45)/G45</f>
        <v>0.154416296762501</v>
      </c>
      <c r="G45" s="21" t="n">
        <v>2836210738</v>
      </c>
      <c r="H45" s="22" t="n">
        <f aca="false">(D45+F45)/2</f>
        <v>0.140841100341625</v>
      </c>
      <c r="M45" s="0" t="s">
        <v>115</v>
      </c>
      <c r="N45" s="0" t="s">
        <v>116</v>
      </c>
      <c r="O45" s="0" t="s">
        <v>117</v>
      </c>
      <c r="P45" s="0" t="s">
        <v>118</v>
      </c>
      <c r="Q45" s="0" t="s">
        <v>119</v>
      </c>
    </row>
    <row r="46" customFormat="false" ht="15" hidden="false" customHeight="false" outlineLevel="0" collapsed="false">
      <c r="C46" s="10"/>
      <c r="D46" s="13"/>
      <c r="F46" s="13"/>
      <c r="H46" s="1"/>
      <c r="M46" s="16" t="s">
        <v>120</v>
      </c>
    </row>
    <row r="47" customFormat="false" ht="15.75" hidden="false" customHeight="true" outlineLevel="0" collapsed="false">
      <c r="B47" s="2" t="s">
        <v>121</v>
      </c>
      <c r="C47" s="2"/>
      <c r="D47" s="23"/>
      <c r="E47" s="24"/>
      <c r="F47" s="23"/>
      <c r="G47" s="24"/>
      <c r="H47" s="25"/>
      <c r="M47" s="16" t="s">
        <v>24</v>
      </c>
      <c r="N47" s="16" t="s">
        <v>25</v>
      </c>
      <c r="O47" s="16" t="s">
        <v>26</v>
      </c>
      <c r="P47" s="16" t="s">
        <v>27</v>
      </c>
      <c r="Q47" s="16" t="s">
        <v>48</v>
      </c>
    </row>
    <row r="48" customFormat="false" ht="16.4" hidden="false" customHeight="false" outlineLevel="0" collapsed="false">
      <c r="B48" s="26"/>
      <c r="C48" s="27" t="n">
        <v>2026</v>
      </c>
      <c r="D48" s="28" t="s">
        <v>9</v>
      </c>
      <c r="E48" s="29" t="n">
        <v>2025</v>
      </c>
      <c r="F48" s="28" t="s">
        <v>10</v>
      </c>
      <c r="G48" s="29" t="n">
        <v>2024</v>
      </c>
      <c r="H48" s="30" t="s">
        <v>11</v>
      </c>
      <c r="M48" s="0" t="s">
        <v>122</v>
      </c>
      <c r="N48" s="17" t="n">
        <v>3690857834</v>
      </c>
      <c r="O48" s="17" t="n">
        <v>3274167897</v>
      </c>
      <c r="P48" s="17" t="n">
        <v>2836210738</v>
      </c>
      <c r="Q48" s="0" t="s">
        <v>92</v>
      </c>
    </row>
    <row r="49" customFormat="false" ht="16.4" hidden="false" customHeight="false" outlineLevel="0" collapsed="false">
      <c r="B49" s="12" t="s">
        <v>123</v>
      </c>
      <c r="C49" s="12" t="n">
        <v>893174205</v>
      </c>
      <c r="D49" s="13" t="n">
        <f aca="false">(C49-E49)/E49</f>
        <v>0.0279289975678707</v>
      </c>
      <c r="E49" s="14" t="n">
        <v>868906517</v>
      </c>
      <c r="F49" s="13" t="n">
        <f aca="false">(E49-G49)/G49</f>
        <v>-0.326880402585745</v>
      </c>
      <c r="G49" s="14" t="n">
        <v>1290864982</v>
      </c>
      <c r="H49" s="15" t="n">
        <f aca="false">(D49+F49)/2</f>
        <v>-0.149475702508937</v>
      </c>
      <c r="M49" s="0" t="s">
        <v>124</v>
      </c>
      <c r="N49" s="17" t="n">
        <v>2107206825</v>
      </c>
      <c r="O49" s="17" t="n">
        <v>1668283132</v>
      </c>
      <c r="P49" s="17" t="n">
        <v>1355384620</v>
      </c>
      <c r="Q49" s="0" t="s">
        <v>74</v>
      </c>
    </row>
    <row r="50" customFormat="false" ht="16.4" hidden="false" customHeight="false" outlineLevel="0" collapsed="false">
      <c r="B50" s="12" t="s">
        <v>125</v>
      </c>
      <c r="C50" s="12" t="n">
        <v>-650260905</v>
      </c>
      <c r="D50" s="13" t="n">
        <f aca="false">(C50-E50)/E50</f>
        <v>0.060461863784067</v>
      </c>
      <c r="E50" s="14" t="n">
        <v>-613186506</v>
      </c>
      <c r="F50" s="13" t="n">
        <f aca="false">(E50-G50)/G50</f>
        <v>-0.347360191250917</v>
      </c>
      <c r="G50" s="14" t="n">
        <v>-939548121</v>
      </c>
      <c r="H50" s="15" t="n">
        <f aca="false">(D50+F50)/2</f>
        <v>-0.143449163733425</v>
      </c>
      <c r="M50" s="0" t="s">
        <v>126</v>
      </c>
      <c r="N50" s="17" t="n">
        <v>456368002</v>
      </c>
      <c r="O50" s="17" t="n">
        <v>519568023</v>
      </c>
      <c r="P50" s="17" t="n">
        <v>503385249</v>
      </c>
      <c r="Q50" s="0" t="s">
        <v>57</v>
      </c>
    </row>
    <row r="51" customFormat="false" ht="16.4" hidden="false" customHeight="false" outlineLevel="0" collapsed="false">
      <c r="B51" s="9" t="s">
        <v>127</v>
      </c>
      <c r="C51" s="9" t="n">
        <v>242913300</v>
      </c>
      <c r="D51" s="13" t="n">
        <f aca="false">(C51-E51)/E51</f>
        <v>-0.0500809887733033</v>
      </c>
      <c r="E51" s="18" t="n">
        <v>255720011</v>
      </c>
      <c r="F51" s="13" t="n">
        <f aca="false">(E51-G51)/G51</f>
        <v>-0.272110053949275</v>
      </c>
      <c r="G51" s="18" t="n">
        <v>351316861</v>
      </c>
      <c r="H51" s="15" t="n">
        <f aca="false">(D51+F51)/2</f>
        <v>-0.161095521361289</v>
      </c>
      <c r="M51" s="0" t="s">
        <v>128</v>
      </c>
      <c r="N51" s="17" t="n">
        <v>2563574827</v>
      </c>
      <c r="O51" s="17" t="n">
        <v>2187851155</v>
      </c>
      <c r="P51" s="17" t="n">
        <v>1858769869</v>
      </c>
      <c r="Q51" s="0" t="s">
        <v>74</v>
      </c>
    </row>
    <row r="52" customFormat="false" ht="16.4" hidden="false" customHeight="false" outlineLevel="0" collapsed="false">
      <c r="B52" s="12" t="s">
        <v>129</v>
      </c>
      <c r="C52" s="12" t="n">
        <v>19054484</v>
      </c>
      <c r="D52" s="13" t="n">
        <f aca="false">(C52-E52)/E52</f>
        <v>1.05807770660749</v>
      </c>
      <c r="E52" s="14" t="n">
        <v>9258389</v>
      </c>
      <c r="F52" s="13" t="n">
        <f aca="false">(E52-G52)/G52</f>
        <v>-0.197585595073878</v>
      </c>
      <c r="G52" s="14" t="n">
        <v>11538164</v>
      </c>
      <c r="H52" s="15" t="n">
        <f aca="false">(D52+F52)/2</f>
        <v>0.430246055766805</v>
      </c>
      <c r="M52" s="0" t="s">
        <v>130</v>
      </c>
      <c r="N52" s="1" t="n">
        <v>0.695</v>
      </c>
      <c r="O52" s="1" t="n">
        <v>0.668</v>
      </c>
      <c r="P52" s="1" t="n">
        <v>0.655</v>
      </c>
      <c r="Q52" s="0" t="s">
        <v>74</v>
      </c>
    </row>
    <row r="53" customFormat="false" ht="16.4" hidden="false" customHeight="false" outlineLevel="0" collapsed="false">
      <c r="B53" s="12" t="s">
        <v>131</v>
      </c>
      <c r="C53" s="31" t="n">
        <v>-98610226</v>
      </c>
      <c r="D53" s="13" t="n">
        <f aca="false">(C53-E53)/E53</f>
        <v>0.0328060706863172</v>
      </c>
      <c r="E53" s="32" t="n">
        <v>-95477969</v>
      </c>
      <c r="F53" s="13" t="n">
        <f aca="false">(E53-G53)/G53</f>
        <v>-0.0271165939870553</v>
      </c>
      <c r="G53" s="32" t="n">
        <v>-98139169</v>
      </c>
      <c r="H53" s="15" t="n">
        <f aca="false">(D53+F53)/2</f>
        <v>0.00284473834963096</v>
      </c>
      <c r="M53" s="0" t="s">
        <v>132</v>
      </c>
      <c r="N53" s="17" t="n">
        <v>159650517</v>
      </c>
      <c r="O53" s="17" t="n">
        <v>159650517</v>
      </c>
      <c r="P53" s="17" t="n">
        <v>159650534</v>
      </c>
      <c r="Q53" s="0" t="s">
        <v>133</v>
      </c>
    </row>
    <row r="54" customFormat="false" ht="16.4" hidden="false" customHeight="false" outlineLevel="0" collapsed="false">
      <c r="B54" s="12" t="s">
        <v>134</v>
      </c>
      <c r="C54" s="12" t="n">
        <v>-257</v>
      </c>
      <c r="D54" s="13" t="n">
        <f aca="false">(C54-E54)/E54</f>
        <v>-0.997988195325098</v>
      </c>
      <c r="E54" s="14" t="n">
        <v>-127746</v>
      </c>
      <c r="F54" s="13" t="n">
        <f aca="false">(E54-G54)/G54</f>
        <v>0.992730789629676</v>
      </c>
      <c r="G54" s="14" t="n">
        <v>-64106</v>
      </c>
      <c r="H54" s="15" t="n">
        <f aca="false">(D54+F54)/2</f>
        <v>-0.00262870284771116</v>
      </c>
      <c r="M54" s="0" t="s">
        <v>135</v>
      </c>
      <c r="N54" s="17" t="n">
        <v>1567930092</v>
      </c>
      <c r="O54" s="17" t="n">
        <v>1430422176</v>
      </c>
      <c r="P54" s="17" t="n">
        <v>1273865800</v>
      </c>
      <c r="Q54" s="0" t="s">
        <v>92</v>
      </c>
    </row>
    <row r="55" customFormat="false" ht="16.4" hidden="false" customHeight="false" outlineLevel="0" collapsed="false">
      <c r="B55" s="12" t="s">
        <v>136</v>
      </c>
      <c r="C55" s="12" t="n">
        <v>7692016</v>
      </c>
      <c r="D55" s="13" t="n">
        <f aca="false">(C55-E55)/E55</f>
        <v>-3.105968431347</v>
      </c>
      <c r="E55" s="14" t="n">
        <v>-3652484</v>
      </c>
      <c r="F55" s="13" t="n">
        <f aca="false">(E55-G55)/G55</f>
        <v>-0.347216664429649</v>
      </c>
      <c r="G55" s="14" t="n">
        <v>-5595247</v>
      </c>
      <c r="H55" s="15" t="n">
        <f aca="false">(D55+F55)/2</f>
        <v>-1.72659254788832</v>
      </c>
      <c r="M55" s="0" t="s">
        <v>137</v>
      </c>
      <c r="N55" s="17" t="n">
        <v>1408279575</v>
      </c>
      <c r="O55" s="17" t="n">
        <v>1270771659</v>
      </c>
      <c r="P55" s="17" t="n">
        <v>1114215266</v>
      </c>
      <c r="Q55" s="0" t="s">
        <v>92</v>
      </c>
    </row>
    <row r="56" customFormat="false" ht="16.4" hidden="false" customHeight="false" outlineLevel="0" collapsed="false">
      <c r="B56" s="9" t="s">
        <v>138</v>
      </c>
      <c r="C56" s="9" t="n">
        <v>171049317</v>
      </c>
      <c r="D56" s="13" t="n">
        <f aca="false">(C56-E56)/E56</f>
        <v>0.0321573107433052</v>
      </c>
      <c r="E56" s="18" t="n">
        <v>165720201</v>
      </c>
      <c r="F56" s="13" t="n">
        <f aca="false">(E56-G56)/G56</f>
        <v>-0.360293221436715</v>
      </c>
      <c r="G56" s="18" t="n">
        <v>259056503</v>
      </c>
      <c r="H56" s="15" t="n">
        <f aca="false">(D56+F56)/2</f>
        <v>-0.164067955346705</v>
      </c>
      <c r="M56" s="0" t="s">
        <v>139</v>
      </c>
      <c r="N56" s="0" t="s">
        <v>140</v>
      </c>
      <c r="O56" s="0" t="s">
        <v>140</v>
      </c>
      <c r="P56" s="0" t="s">
        <v>140</v>
      </c>
      <c r="Q56" s="0" t="s">
        <v>30</v>
      </c>
    </row>
    <row r="57" customFormat="false" ht="16.4" hidden="false" customHeight="false" outlineLevel="0" collapsed="false">
      <c r="B57" s="12" t="s">
        <v>141</v>
      </c>
      <c r="C57" s="12" t="n">
        <v>56062035</v>
      </c>
      <c r="D57" s="13" t="n">
        <f aca="false">(C57-E57)/E57</f>
        <v>-0.127477127571583</v>
      </c>
      <c r="E57" s="14" t="n">
        <v>64252797</v>
      </c>
      <c r="F57" s="13" t="n">
        <f aca="false">(E57-G57)/G57</f>
        <v>0.0744649201137081</v>
      </c>
      <c r="G57" s="14" t="n">
        <v>59799809</v>
      </c>
      <c r="H57" s="15" t="n">
        <f aca="false">(D57+F57)/2</f>
        <v>-0.0265061037289373</v>
      </c>
      <c r="M57" s="0" t="s">
        <v>142</v>
      </c>
      <c r="N57" s="0" t="s">
        <v>143</v>
      </c>
      <c r="O57" s="0" t="s">
        <v>30</v>
      </c>
      <c r="P57" s="0" t="s">
        <v>30</v>
      </c>
      <c r="Q57" s="0" t="s">
        <v>30</v>
      </c>
    </row>
    <row r="58" customFormat="false" ht="16.4" hidden="false" customHeight="false" outlineLevel="0" collapsed="false">
      <c r="B58" s="12" t="s">
        <v>144</v>
      </c>
      <c r="C58" s="12" t="n">
        <v>-43493049</v>
      </c>
      <c r="D58" s="13" t="n">
        <f aca="false">(C58-E58)/E58</f>
        <v>-0.278761398593383</v>
      </c>
      <c r="E58" s="14" t="n">
        <v>-60303274</v>
      </c>
      <c r="F58" s="13" t="n">
        <f aca="false">(E58-G58)/G58</f>
        <v>0.0130869447012071</v>
      </c>
      <c r="G58" s="14" t="n">
        <v>-59524283</v>
      </c>
      <c r="H58" s="15" t="n">
        <f aca="false">(D58+F58)/2</f>
        <v>-0.132837226946088</v>
      </c>
      <c r="M58" s="0" t="s">
        <v>145</v>
      </c>
      <c r="N58" s="0" t="s">
        <v>146</v>
      </c>
      <c r="O58" s="0" t="s">
        <v>30</v>
      </c>
      <c r="P58" s="0" t="s">
        <v>30</v>
      </c>
      <c r="Q58" s="0" t="s">
        <v>30</v>
      </c>
    </row>
    <row r="59" customFormat="false" ht="30.75" hidden="false" customHeight="false" outlineLevel="0" collapsed="false">
      <c r="B59" s="12" t="s">
        <v>147</v>
      </c>
      <c r="C59" s="12" t="n">
        <v>23982406</v>
      </c>
      <c r="D59" s="13" t="n">
        <f aca="false">(C59-E59)/E59</f>
        <v>-0.440634015752013</v>
      </c>
      <c r="E59" s="14" t="n">
        <v>42874266</v>
      </c>
      <c r="F59" s="13" t="n">
        <f aca="false">(E59-G59)/G59</f>
        <v>3.54672881784618</v>
      </c>
      <c r="G59" s="14" t="n">
        <v>9429695</v>
      </c>
      <c r="H59" s="15" t="n">
        <f aca="false">(D59+F59)/2</f>
        <v>1.55304740104708</v>
      </c>
      <c r="M59" s="16" t="s">
        <v>148</v>
      </c>
    </row>
    <row r="60" customFormat="false" ht="16.4" hidden="false" customHeight="false" outlineLevel="0" collapsed="false">
      <c r="B60" s="9" t="s">
        <v>149</v>
      </c>
      <c r="C60" s="9" t="n">
        <v>207600709</v>
      </c>
      <c r="D60" s="13" t="n">
        <f aca="false">(C60-E60)/E60</f>
        <v>-0.0232576842092783</v>
      </c>
      <c r="E60" s="18" t="n">
        <v>212543990</v>
      </c>
      <c r="F60" s="13" t="n">
        <f aca="false">(E60-G60)/G60</f>
        <v>-0.209173141038491</v>
      </c>
      <c r="G60" s="18" t="n">
        <v>268761724</v>
      </c>
      <c r="H60" s="15" t="n">
        <f aca="false">(D60+F60)/2</f>
        <v>-0.116215412623885</v>
      </c>
      <c r="M60" s="16" t="s">
        <v>24</v>
      </c>
      <c r="N60" s="16" t="s">
        <v>25</v>
      </c>
      <c r="O60" s="16" t="s">
        <v>26</v>
      </c>
      <c r="P60" s="16" t="s">
        <v>27</v>
      </c>
      <c r="Q60" s="16" t="s">
        <v>48</v>
      </c>
    </row>
    <row r="61" customFormat="false" ht="16.4" hidden="false" customHeight="false" outlineLevel="0" collapsed="false">
      <c r="B61" s="12" t="s">
        <v>150</v>
      </c>
      <c r="C61" s="12" t="n">
        <v>-47370706</v>
      </c>
      <c r="D61" s="13" t="n">
        <f aca="false">(C61-E61)/E61</f>
        <v>0.0203023573694779</v>
      </c>
      <c r="E61" s="14" t="n">
        <v>-46428106</v>
      </c>
      <c r="F61" s="13" t="n">
        <f aca="false">(E61-G61)/G61</f>
        <v>-0.363095583251899</v>
      </c>
      <c r="G61" s="14" t="n">
        <v>-72896505</v>
      </c>
      <c r="H61" s="15" t="n">
        <f aca="false">(D61+F61)/2</f>
        <v>-0.171396612941211</v>
      </c>
      <c r="M61" s="0" t="s">
        <v>151</v>
      </c>
      <c r="N61" s="1" t="n">
        <v>0.107</v>
      </c>
      <c r="O61" s="1" t="n">
        <v>0.117</v>
      </c>
      <c r="P61" s="1" t="n">
        <v>0.156</v>
      </c>
      <c r="Q61" s="0" t="s">
        <v>57</v>
      </c>
    </row>
    <row r="62" customFormat="false" ht="16.4" hidden="false" customHeight="false" outlineLevel="0" collapsed="false">
      <c r="B62" s="9" t="s">
        <v>152</v>
      </c>
      <c r="C62" s="9" t="n">
        <v>160230003</v>
      </c>
      <c r="D62" s="13" t="n">
        <f aca="false">(C62-E62)/E62</f>
        <v>-0.0354323792419514</v>
      </c>
      <c r="E62" s="18" t="n">
        <v>166115884</v>
      </c>
      <c r="F62" s="13" t="n">
        <f aca="false">(E62-G62)/G62</f>
        <v>-0.151886767604206</v>
      </c>
      <c r="G62" s="18" t="n">
        <v>195865219</v>
      </c>
      <c r="H62" s="15" t="n">
        <f aca="false">(D62+F62)/2</f>
        <v>-0.0936595734230789</v>
      </c>
      <c r="M62" s="0" t="s">
        <v>153</v>
      </c>
      <c r="N62" s="1" t="n">
        <v>0.046</v>
      </c>
      <c r="O62" s="1" t="n">
        <v>0.051</v>
      </c>
      <c r="P62" s="1" t="n">
        <v>0.069</v>
      </c>
      <c r="Q62" s="0" t="s">
        <v>57</v>
      </c>
    </row>
    <row r="63" customFormat="false" ht="15" hidden="false" customHeight="false" outlineLevel="0" collapsed="false">
      <c r="B63" s="12"/>
      <c r="C63" s="12"/>
      <c r="D63" s="13"/>
      <c r="E63" s="14"/>
      <c r="F63" s="13"/>
      <c r="G63" s="14"/>
      <c r="H63" s="15"/>
      <c r="M63" s="16" t="s">
        <v>154</v>
      </c>
    </row>
    <row r="64" customFormat="false" ht="30.75" hidden="false" customHeight="false" outlineLevel="0" collapsed="false">
      <c r="B64" s="9" t="s">
        <v>155</v>
      </c>
      <c r="C64" s="9" t="n">
        <v>160230003</v>
      </c>
      <c r="D64" s="13" t="n">
        <f aca="false">(C64-E64)/E64</f>
        <v>-0.0354323792419514</v>
      </c>
      <c r="E64" s="18" t="n">
        <v>166115884</v>
      </c>
      <c r="F64" s="13" t="n">
        <f aca="false">(E64-G64)/G64</f>
        <v>-0.151886767604206</v>
      </c>
      <c r="G64" s="18" t="n">
        <v>195865219</v>
      </c>
      <c r="H64" s="15" t="n">
        <f aca="false">(D64+F64)/2</f>
        <v>-0.0936595734230789</v>
      </c>
      <c r="M64" s="16" t="s">
        <v>156</v>
      </c>
      <c r="N64" s="16" t="s">
        <v>157</v>
      </c>
      <c r="O64" s="16" t="s">
        <v>158</v>
      </c>
      <c r="P64" s="16" t="s">
        <v>159</v>
      </c>
    </row>
    <row r="65" customFormat="false" ht="16.4" hidden="false" customHeight="false" outlineLevel="0" collapsed="false">
      <c r="B65" s="12" t="s">
        <v>160</v>
      </c>
      <c r="C65" s="12" t="n">
        <v>160235004</v>
      </c>
      <c r="D65" s="13" t="n">
        <f aca="false">(C65-E65)/E65</f>
        <v>-0.028785085543251</v>
      </c>
      <c r="E65" s="14" t="n">
        <v>164984085</v>
      </c>
      <c r="F65" s="13" t="n">
        <f aca="false">(E65-G65)/G65</f>
        <v>-0.156974407520285</v>
      </c>
      <c r="G65" s="14" t="n">
        <v>195704717</v>
      </c>
      <c r="H65" s="15" t="n">
        <f aca="false">(D65+F65)/2</f>
        <v>-0.0928797465317679</v>
      </c>
      <c r="M65" s="1" t="n">
        <v>0.075</v>
      </c>
      <c r="N65" s="1" t="n">
        <v>0.005</v>
      </c>
      <c r="O65" s="0" t="s">
        <v>140</v>
      </c>
      <c r="P65" s="0" t="s">
        <v>161</v>
      </c>
    </row>
    <row r="66" customFormat="false" ht="30.75" hidden="false" customHeight="false" outlineLevel="0" collapsed="false">
      <c r="B66" s="12" t="s">
        <v>162</v>
      </c>
      <c r="C66" s="12" t="n">
        <v>-5001</v>
      </c>
      <c r="D66" s="13" t="n">
        <f aca="false">(C66-E66)/E66</f>
        <v>-1.00441862910287</v>
      </c>
      <c r="E66" s="14" t="n">
        <v>1131799</v>
      </c>
      <c r="F66" s="13" t="n">
        <f aca="false">(E66-G66)/G66</f>
        <v>6.05161929446362</v>
      </c>
      <c r="G66" s="14" t="n">
        <v>160502</v>
      </c>
      <c r="H66" s="15" t="n">
        <f aca="false">(D66+F66)/2</f>
        <v>2.52360033268038</v>
      </c>
      <c r="M66" s="1" t="n">
        <v>0.07</v>
      </c>
      <c r="N66" s="0" t="s">
        <v>163</v>
      </c>
      <c r="O66" s="0" t="s">
        <v>116</v>
      </c>
      <c r="P66" s="0" t="s">
        <v>161</v>
      </c>
    </row>
    <row r="67" customFormat="false" ht="16.4" hidden="false" customHeight="false" outlineLevel="0" collapsed="false">
      <c r="B67" s="12" t="s">
        <v>164</v>
      </c>
      <c r="C67" s="12" t="n">
        <v>167.36</v>
      </c>
      <c r="D67" s="13" t="n">
        <f aca="false">(C67-E67)/E67</f>
        <v>-0.025390170044258</v>
      </c>
      <c r="E67" s="14" t="n">
        <v>171.72</v>
      </c>
      <c r="F67" s="13" t="n">
        <f aca="false">(E67-G67)/G67</f>
        <v>-0.101412872841444</v>
      </c>
      <c r="G67" s="14" t="n">
        <v>191.1</v>
      </c>
      <c r="H67" s="15" t="n">
        <f aca="false">(D67+F67)/2</f>
        <v>-0.0634015214428511</v>
      </c>
      <c r="M67" s="1" t="n">
        <v>0.065</v>
      </c>
      <c r="N67" s="1" t="n">
        <v>-0.005</v>
      </c>
      <c r="O67" s="0" t="s">
        <v>140</v>
      </c>
      <c r="P67" s="0" t="s">
        <v>161</v>
      </c>
    </row>
    <row r="68" customFormat="false" ht="16.4" hidden="false" customHeight="false" outlineLevel="0" collapsed="false">
      <c r="B68" s="33" t="s">
        <v>165</v>
      </c>
      <c r="C68" s="33" t="n">
        <v>164.94</v>
      </c>
      <c r="D68" s="20" t="n">
        <f aca="false">(C68-E68)/E68</f>
        <v>-0.0183311510534461</v>
      </c>
      <c r="E68" s="34" t="n">
        <v>168.02</v>
      </c>
      <c r="F68" s="20" t="n">
        <f aca="false">(E68-G68)/G68</f>
        <v>-0.106086401361992</v>
      </c>
      <c r="G68" s="34" t="n">
        <v>187.96</v>
      </c>
      <c r="H68" s="22" t="n">
        <f aca="false">(D68+F68)/2</f>
        <v>-0.062208776207719</v>
      </c>
      <c r="M68" s="1" t="n">
        <v>0.06</v>
      </c>
      <c r="N68" s="1" t="n">
        <v>-0.01</v>
      </c>
      <c r="O68" s="0" t="s">
        <v>140</v>
      </c>
      <c r="P68" s="0" t="s">
        <v>161</v>
      </c>
    </row>
    <row r="69" customFormat="false" ht="15" hidden="false" customHeight="true" outlineLevel="0" collapsed="false">
      <c r="M69" s="14" t="s">
        <v>166</v>
      </c>
    </row>
  </sheetData>
  <mergeCells count="1">
    <mergeCell ref="B2:G2"/>
  </mergeCells>
  <conditionalFormatting sqref="F1:F1048576 D1:D1048576 H1:H1048576">
    <cfRule type="cellIs" priority="2" operator="lessThan" aboveAverage="0" equalAverage="0" bottom="0" percent="0" rank="0" text="" dxfId="0">
      <formula>0</formula>
    </cfRule>
  </conditionalFormatting>
  <conditionalFormatting sqref="F1:F1048576 D1:D1048576 H1:H1048576">
    <cfRule type="cellIs" priority="3" operator="greater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2" min="2" style="0" width="15"/>
    <col collapsed="false" customWidth="true" hidden="false" outlineLevel="0" max="3" min="3" style="0" width="15.43"/>
    <col collapsed="false" customWidth="true" hidden="false" outlineLevel="0" max="4" min="4" style="0" width="8.86"/>
    <col collapsed="false" customWidth="true" hidden="false" outlineLevel="0" max="13" min="5" style="0" width="10.43"/>
    <col collapsed="false" customWidth="true" hidden="false" outlineLevel="0" max="16" min="16" style="0" width="75.57"/>
  </cols>
  <sheetData>
    <row r="1" customFormat="false" ht="15" hidden="false" customHeight="false" outlineLevel="0" collapsed="false">
      <c r="B1" s="35" t="s">
        <v>167</v>
      </c>
      <c r="C1" s="35"/>
      <c r="D1" s="35"/>
      <c r="E1" s="35"/>
      <c r="F1" s="35"/>
      <c r="G1" s="35"/>
    </row>
    <row r="3" customFormat="false" ht="15" hidden="false" customHeight="false" outlineLevel="0" collapsed="false">
      <c r="A3" s="16"/>
      <c r="B3" s="36" t="s">
        <v>168</v>
      </c>
      <c r="C3" s="36"/>
      <c r="D3" s="36" t="n">
        <v>2026</v>
      </c>
      <c r="E3" s="36" t="n">
        <v>2027</v>
      </c>
      <c r="F3" s="36" t="n">
        <v>2028</v>
      </c>
      <c r="G3" s="36" t="n">
        <v>2029</v>
      </c>
      <c r="H3" s="36" t="n">
        <v>2030</v>
      </c>
      <c r="I3" s="36" t="n">
        <v>2031</v>
      </c>
      <c r="J3" s="36" t="n">
        <v>2032</v>
      </c>
      <c r="K3" s="36" t="n">
        <v>2033</v>
      </c>
      <c r="L3" s="36" t="n">
        <v>2034</v>
      </c>
      <c r="M3" s="36" t="n">
        <v>2035</v>
      </c>
    </row>
    <row r="4" customFormat="false" ht="15" hidden="false" customHeight="false" outlineLevel="0" collapsed="false">
      <c r="B4" s="0" t="s">
        <v>169</v>
      </c>
      <c r="C4" s="37" t="s">
        <v>170</v>
      </c>
      <c r="D4" s="17" t="n">
        <f aca="false">'Bankenveld - Outlay'!C41</f>
        <v>0</v>
      </c>
      <c r="E4" s="17" t="n">
        <f aca="false">'Bankenveld - Outlay'!D41</f>
        <v>0</v>
      </c>
      <c r="F4" s="17" t="n">
        <f aca="false">'Bankenveld - Outlay'!E41</f>
        <v>768000</v>
      </c>
      <c r="G4" s="17" t="n">
        <f aca="false">'Bankenveld - Outlay'!F41</f>
        <v>1152000</v>
      </c>
      <c r="H4" s="17" t="n">
        <f aca="false">'Bankenveld - Outlay'!G41</f>
        <v>1536000</v>
      </c>
      <c r="I4" s="17" t="n">
        <f aca="false">'Bankenveld - Outlay'!H41</f>
        <v>1728000</v>
      </c>
      <c r="J4" s="17" t="n">
        <f aca="false">'Bankenveld - Outlay'!I41</f>
        <v>2304000</v>
      </c>
      <c r="K4" s="17" t="n">
        <f aca="false">'Bankenveld - Outlay'!J41</f>
        <v>2496000</v>
      </c>
      <c r="L4" s="17" t="n">
        <f aca="false">'Bankenveld - Outlay'!K41</f>
        <v>2112000</v>
      </c>
      <c r="M4" s="17" t="n">
        <f aca="false">'Bankenveld - Outlay'!L41</f>
        <v>1920000</v>
      </c>
    </row>
    <row r="5" customFormat="false" ht="15" hidden="false" customHeight="false" outlineLevel="0" collapsed="false">
      <c r="C5" s="37" t="s">
        <v>171</v>
      </c>
      <c r="D5" s="17" t="n">
        <f aca="false">'Bankenveld - Outlay'!C40</f>
        <v>-145000</v>
      </c>
      <c r="E5" s="17" t="n">
        <f aca="false">'Bankenveld - Outlay'!D40</f>
        <v>-80000</v>
      </c>
      <c r="F5" s="17" t="n">
        <f aca="false">'Bankenveld - Outlay'!E40</f>
        <v>-699846.4</v>
      </c>
      <c r="G5" s="17" t="n">
        <f aca="false">'Bankenveld - Outlay'!F40</f>
        <v>-1029769.6</v>
      </c>
      <c r="H5" s="17" t="n">
        <f aca="false">'Bankenveld - Outlay'!G40</f>
        <v>-1361692.8</v>
      </c>
      <c r="I5" s="17" t="n">
        <f aca="false">'Bankenveld - Outlay'!H40</f>
        <v>-1526654.4</v>
      </c>
      <c r="J5" s="17" t="n">
        <f aca="false">'Bankenveld - Outlay'!I40</f>
        <v>-2027539.2</v>
      </c>
      <c r="K5" s="17" t="n">
        <f aca="false">'Bankenveld - Outlay'!J40</f>
        <v>-2193500.8</v>
      </c>
      <c r="L5" s="17" t="n">
        <f aca="false">'Bankenveld - Outlay'!K40</f>
        <v>-1857577.6</v>
      </c>
      <c r="M5" s="17" t="n">
        <f aca="false">'Bankenveld - Outlay'!L40</f>
        <v>-1689616</v>
      </c>
      <c r="N5" s="37"/>
      <c r="O5" s="37"/>
      <c r="P5" s="37"/>
      <c r="Q5" s="37"/>
      <c r="R5" s="37"/>
      <c r="S5" s="37"/>
      <c r="T5" s="37"/>
    </row>
    <row r="6" customFormat="false" ht="15" hidden="false" customHeight="false" outlineLevel="0" collapsed="false">
      <c r="C6" s="37"/>
      <c r="D6" s="17"/>
      <c r="E6" s="17"/>
      <c r="F6" s="17"/>
      <c r="G6" s="17"/>
      <c r="H6" s="17"/>
      <c r="I6" s="17"/>
      <c r="J6" s="17"/>
      <c r="K6" s="17"/>
      <c r="L6" s="17"/>
      <c r="M6" s="17"/>
      <c r="N6" s="37"/>
      <c r="O6" s="37"/>
      <c r="P6" s="37"/>
      <c r="Q6" s="37"/>
      <c r="R6" s="37"/>
      <c r="S6" s="37"/>
      <c r="T6" s="37"/>
    </row>
    <row r="7" customFormat="false" ht="15" hidden="false" customHeight="false" outlineLevel="0" collapsed="false">
      <c r="B7" s="0" t="s">
        <v>172</v>
      </c>
      <c r="C7" s="37" t="s">
        <v>170</v>
      </c>
      <c r="D7" s="17" t="n">
        <f aca="false">'Memorial Parks - Outlay'!C33</f>
        <v>105000</v>
      </c>
      <c r="E7" s="17" t="n">
        <f aca="false">'Memorial Parks - Outlay'!D33</f>
        <v>117000</v>
      </c>
      <c r="F7" s="17" t="n">
        <f aca="false">'Memorial Parks - Outlay'!E33</f>
        <v>127500</v>
      </c>
      <c r="G7" s="17" t="n">
        <f aca="false">'Memorial Parks - Outlay'!F33</f>
        <v>135000</v>
      </c>
      <c r="H7" s="17" t="n">
        <f aca="false">'Memorial Parks - Outlay'!G33</f>
        <v>142500</v>
      </c>
      <c r="I7" s="17" t="n">
        <f aca="false">'Memorial Parks - Outlay'!H33</f>
        <v>150000</v>
      </c>
      <c r="J7" s="17" t="n">
        <f aca="false">'Memorial Parks - Outlay'!I33</f>
        <v>150000</v>
      </c>
      <c r="K7" s="17" t="n">
        <f aca="false">'Memorial Parks - Outlay'!J33</f>
        <v>150000</v>
      </c>
      <c r="L7" s="17" t="n">
        <f aca="false">'Memorial Parks - Outlay'!K33</f>
        <v>150000</v>
      </c>
      <c r="M7" s="17" t="n">
        <f aca="false">'Memorial Parks - Outlay'!L33</f>
        <v>150000</v>
      </c>
      <c r="P7" s="0" t="s">
        <v>173</v>
      </c>
    </row>
    <row r="8" customFormat="false" ht="15" hidden="false" customHeight="false" outlineLevel="0" collapsed="false">
      <c r="C8" s="37" t="s">
        <v>171</v>
      </c>
      <c r="D8" s="17" t="n">
        <f aca="false">'Memorial Parks - Outlay'!C32</f>
        <v>-68169.15</v>
      </c>
      <c r="E8" s="17" t="n">
        <f aca="false">'Memorial Parks - Outlay'!D32</f>
        <v>-77676.3</v>
      </c>
      <c r="F8" s="17" t="n">
        <f aca="false">'Memorial Parks - Outlay'!E32</f>
        <v>-85335.75</v>
      </c>
      <c r="G8" s="17" t="n">
        <f aca="false">'Memorial Parks - Outlay'!F32</f>
        <v>-91084.5</v>
      </c>
      <c r="H8" s="17" t="n">
        <f aca="false">'Memorial Parks - Outlay'!G32</f>
        <v>-94064.25</v>
      </c>
      <c r="I8" s="17" t="n">
        <f aca="false">'Memorial Parks - Outlay'!H32</f>
        <v>-96825</v>
      </c>
      <c r="J8" s="17" t="n">
        <f aca="false">'Memorial Parks - Outlay'!I32</f>
        <v>-94635</v>
      </c>
      <c r="K8" s="17" t="n">
        <f aca="false">'Memorial Parks - Outlay'!J32</f>
        <v>-91635</v>
      </c>
      <c r="L8" s="17" t="n">
        <f aca="false">'Memorial Parks - Outlay'!K32</f>
        <v>-88635</v>
      </c>
      <c r="M8" s="17" t="n">
        <f aca="false">'Memorial Parks - Outlay'!L32</f>
        <v>-85635</v>
      </c>
    </row>
    <row r="9" customFormat="false" ht="15" hidden="false" customHeight="false" outlineLevel="0" collapsed="false">
      <c r="C9" s="37"/>
      <c r="D9" s="17"/>
      <c r="E9" s="17"/>
      <c r="F9" s="17"/>
      <c r="G9" s="17"/>
      <c r="H9" s="17"/>
      <c r="I9" s="17"/>
      <c r="J9" s="17"/>
      <c r="K9" s="17"/>
      <c r="L9" s="17"/>
      <c r="M9" s="17"/>
    </row>
    <row r="10" customFormat="false" ht="15" hidden="false" customHeight="false" outlineLevel="0" collapsed="false">
      <c r="B10" s="0" t="s">
        <v>174</v>
      </c>
      <c r="C10" s="37" t="s">
        <v>170</v>
      </c>
      <c r="D10" s="17" t="n">
        <f aca="false">'Other IRD - Outlays'!C39</f>
        <v>834486</v>
      </c>
      <c r="E10" s="17" t="n">
        <f aca="false">'Other IRD - Outlays'!D39</f>
        <v>1001383</v>
      </c>
      <c r="F10" s="17" t="n">
        <f aca="false">'Other IRD - Outlays'!E39</f>
        <v>1084832</v>
      </c>
      <c r="G10" s="17" t="n">
        <f aca="false">'Other IRD - Outlays'!F39</f>
        <v>1168280</v>
      </c>
      <c r="H10" s="17" t="n">
        <f aca="false">'Other IRD - Outlays'!G39</f>
        <v>1084832</v>
      </c>
      <c r="I10" s="17" t="n">
        <f aca="false">'Other IRD - Outlays'!H39</f>
        <v>917935</v>
      </c>
      <c r="J10" s="17" t="n">
        <f aca="false">'Other IRD - Outlays'!I39</f>
        <v>751037</v>
      </c>
      <c r="K10" s="17" t="n">
        <f aca="false">'Other IRD - Outlays'!J39</f>
        <v>584140</v>
      </c>
      <c r="L10" s="17" t="n">
        <f aca="false">'Other IRD - Outlays'!K39</f>
        <v>500692</v>
      </c>
      <c r="M10" s="17" t="n">
        <f aca="false">'Other IRD - Outlays'!L39</f>
        <v>417243</v>
      </c>
    </row>
    <row r="11" customFormat="false" ht="15" hidden="false" customHeight="false" outlineLevel="0" collapsed="false">
      <c r="C11" s="37" t="s">
        <v>171</v>
      </c>
      <c r="D11" s="17" t="n">
        <f aca="false">'Other IRD - Outlays'!C40</f>
        <v>-735273.72</v>
      </c>
      <c r="E11" s="17" t="n">
        <f aca="false">'Other IRD - Outlays'!D40</f>
        <v>-868719.12</v>
      </c>
      <c r="F11" s="17" t="n">
        <f aca="false">'Other IRD - Outlays'!E40</f>
        <v>-940737.65</v>
      </c>
      <c r="G11" s="17" t="n">
        <f aca="false">'Other IRD - Outlays'!F40</f>
        <v>-1012284.23</v>
      </c>
      <c r="H11" s="17" t="n">
        <f aca="false">'Other IRD - Outlays'!G40</f>
        <v>-947576.46</v>
      </c>
      <c r="I11" s="17" t="n">
        <f aca="false">'Other IRD - Outlays'!H40</f>
        <v>-812303.87</v>
      </c>
      <c r="J11" s="17" t="n">
        <f aca="false">'Other IRD - Outlays'!I40</f>
        <v>-675577.3</v>
      </c>
      <c r="K11" s="17" t="n">
        <f aca="false">'Other IRD - Outlays'!J40</f>
        <v>-538241.45</v>
      </c>
      <c r="L11" s="17" t="n">
        <f aca="false">'Other IRD - Outlays'!K40</f>
        <v>-456850.71</v>
      </c>
      <c r="M11" s="17" t="n">
        <f aca="false">'Other IRD - Outlays'!L40</f>
        <v>-389096.11</v>
      </c>
    </row>
    <row r="12" customFormat="false" ht="15" hidden="false" customHeight="false" outlineLevel="0" collapsed="false">
      <c r="C12" s="3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customFormat="false" ht="15" hidden="false" customHeight="false" outlineLevel="0" collapsed="false"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customFormat="false" ht="15" hidden="false" customHeight="false" outlineLevel="0" collapsed="false">
      <c r="C14" s="37" t="s">
        <v>175</v>
      </c>
      <c r="D14" s="17" t="n">
        <f aca="false">SUMIF(D4:D11,"&gt;0")</f>
        <v>939486</v>
      </c>
      <c r="E14" s="17" t="n">
        <f aca="false">SUMIF(E4:E11,"&gt;0")</f>
        <v>1118383</v>
      </c>
      <c r="F14" s="17" t="n">
        <f aca="false">SUMIF(F4:F11,"&gt;0")</f>
        <v>1980332</v>
      </c>
      <c r="G14" s="17" t="n">
        <f aca="false">SUMIF(G4:G11,"&gt;0")</f>
        <v>2455280</v>
      </c>
      <c r="H14" s="17" t="n">
        <f aca="false">SUMIF(H4:H11,"&gt;0")</f>
        <v>2763332</v>
      </c>
      <c r="I14" s="17" t="n">
        <f aca="false">SUMIF(I4:I11,"&gt;0")</f>
        <v>2795935</v>
      </c>
      <c r="J14" s="17" t="n">
        <f aca="false">SUMIF(J4:J11,"&gt;0")</f>
        <v>3205037</v>
      </c>
      <c r="K14" s="17" t="n">
        <f aca="false">SUMIF(K4:K11,"&gt;0")</f>
        <v>3230140</v>
      </c>
      <c r="L14" s="17" t="n">
        <f aca="false">SUMIF(L4:L11,"&gt;0")</f>
        <v>2762692</v>
      </c>
      <c r="M14" s="17" t="n">
        <f aca="false">SUMIF(M4:M11,"&gt;0")</f>
        <v>2487243</v>
      </c>
      <c r="P14" s="0" t="s">
        <v>176</v>
      </c>
    </row>
    <row r="15" customFormat="false" ht="15" hidden="false" customHeight="false" outlineLevel="0" collapsed="false">
      <c r="C15" s="37" t="s">
        <v>177</v>
      </c>
      <c r="D15" s="17" t="n">
        <f aca="false">SUMIF(D4:D11,"&lt;0")</f>
        <v>-948442.87</v>
      </c>
      <c r="E15" s="17" t="n">
        <f aca="false">SUMIF(E4:E11,"&lt;0")</f>
        <v>-1026395.42</v>
      </c>
      <c r="F15" s="17" t="n">
        <f aca="false">SUMIF(F4:F11,"&lt;0")</f>
        <v>-1725919.8</v>
      </c>
      <c r="G15" s="17" t="n">
        <f aca="false">SUMIF(G4:G11,"&lt;0")</f>
        <v>-2133138.33</v>
      </c>
      <c r="H15" s="17" t="n">
        <f aca="false">SUMIF(H4:H11,"&lt;0")</f>
        <v>-2403333.51</v>
      </c>
      <c r="I15" s="17" t="n">
        <f aca="false">SUMIF(I4:I11,"&lt;0")</f>
        <v>-2435783.27</v>
      </c>
      <c r="J15" s="17" t="n">
        <f aca="false">SUMIF(J4:J11,"&lt;0")</f>
        <v>-2797751.5</v>
      </c>
      <c r="K15" s="17" t="n">
        <f aca="false">SUMIF(K4:K11,"&lt;0")</f>
        <v>-2823377.25</v>
      </c>
      <c r="L15" s="17" t="n">
        <f aca="false">SUMIF(L4:L11,"&lt;0")</f>
        <v>-2403063.31</v>
      </c>
      <c r="M15" s="17" t="n">
        <f aca="false">SUMIF(M4:M11,"&lt;0")</f>
        <v>-2164347.11</v>
      </c>
    </row>
    <row r="16" customFormat="false" ht="15" hidden="false" customHeight="false" outlineLevel="0" collapsed="false">
      <c r="C16" s="37" t="s">
        <v>178</v>
      </c>
      <c r="D16" s="17" t="n">
        <f aca="false">SUM(D4:D11)</f>
        <v>-8956.87</v>
      </c>
      <c r="E16" s="17" t="n">
        <f aca="false">SUM(E4:E11)</f>
        <v>91987.58</v>
      </c>
      <c r="F16" s="17" t="n">
        <f aca="false">SUM(F4:F11)</f>
        <v>254412.2</v>
      </c>
      <c r="G16" s="17" t="n">
        <f aca="false">SUM(G4:G11)</f>
        <v>322141.67</v>
      </c>
      <c r="H16" s="17" t="n">
        <f aca="false">SUM(H4:H11)</f>
        <v>359998.49</v>
      </c>
      <c r="I16" s="17" t="n">
        <f aca="false">SUM(I4:I11)</f>
        <v>360151.73</v>
      </c>
      <c r="J16" s="17" t="n">
        <f aca="false">SUM(J4:J11)</f>
        <v>407285.5</v>
      </c>
      <c r="K16" s="17" t="n">
        <f aca="false">SUM(K4:K11)</f>
        <v>406762.75</v>
      </c>
      <c r="L16" s="17" t="n">
        <f aca="false">SUM(L4:L11)</f>
        <v>359628.69</v>
      </c>
      <c r="M16" s="17" t="n">
        <f aca="false">SUM(M4:M11)</f>
        <v>322895.89</v>
      </c>
    </row>
    <row r="17" customFormat="false" ht="15" hidden="false" customHeight="false" outlineLevel="0" collapsed="false">
      <c r="C17" s="37" t="s">
        <v>179</v>
      </c>
      <c r="D17" s="17" t="n">
        <f aca="false">D16</f>
        <v>-8956.87</v>
      </c>
      <c r="E17" s="17" t="n">
        <f aca="false">D17+E16</f>
        <v>83030.71</v>
      </c>
      <c r="F17" s="17" t="n">
        <f aca="false">E17+F16</f>
        <v>337442.91</v>
      </c>
      <c r="G17" s="17" t="n">
        <f aca="false">F17+G16</f>
        <v>659584.58</v>
      </c>
      <c r="H17" s="17" t="n">
        <f aca="false">G17+H16</f>
        <v>1019583.07</v>
      </c>
      <c r="I17" s="17" t="n">
        <f aca="false">H17+I16</f>
        <v>1379734.8</v>
      </c>
      <c r="J17" s="17" t="n">
        <f aca="false">I17+J16</f>
        <v>1787020.3</v>
      </c>
      <c r="K17" s="17" t="n">
        <f aca="false">J17+K16</f>
        <v>2193783.05</v>
      </c>
      <c r="L17" s="17" t="n">
        <f aca="false">K17+L16</f>
        <v>2553411.74</v>
      </c>
      <c r="M17" s="17" t="n">
        <f aca="false">L17+M16</f>
        <v>2876307.63</v>
      </c>
    </row>
    <row r="18" customFormat="false" ht="15" hidden="false" customHeight="false" outlineLevel="0" collapsed="false">
      <c r="C18" s="37" t="s">
        <v>180</v>
      </c>
      <c r="D18" s="38" t="n">
        <f aca="false">D16/D14*100</f>
        <v>-0.953379826841485</v>
      </c>
      <c r="E18" s="38" t="n">
        <f aca="false">E16/E14*100</f>
        <v>8.22505170411209</v>
      </c>
      <c r="F18" s="38" t="n">
        <f aca="false">F16/F14*100</f>
        <v>12.8469468755744</v>
      </c>
      <c r="G18" s="38" t="n">
        <f aca="false">G16/G14*100</f>
        <v>13.1203638688866</v>
      </c>
      <c r="H18" s="38" t="n">
        <f aca="false">H16/H14*100</f>
        <v>13.0276959120366</v>
      </c>
      <c r="I18" s="38" t="n">
        <f aca="false">I16/I14*100</f>
        <v>12.8812626187662</v>
      </c>
      <c r="J18" s="38" t="n">
        <f aca="false">J16/J14*100</f>
        <v>12.707669209435</v>
      </c>
      <c r="K18" s="38" t="n">
        <f aca="false">K16/K14*100</f>
        <v>12.5927281789644</v>
      </c>
      <c r="L18" s="38" t="n">
        <f aca="false">L16/L14*100</f>
        <v>13.017328388398</v>
      </c>
      <c r="M18" s="38" t="n">
        <f aca="false">M16/M14*100</f>
        <v>12.9820805606851</v>
      </c>
    </row>
    <row r="19" customFormat="false" ht="15" hidden="false" customHeight="false" outlineLevel="0" collapsed="false">
      <c r="C19" s="3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customFormat="false" ht="15" hidden="false" customHeight="false" outlineLevel="0" collapsed="false">
      <c r="B20" s="0" t="s">
        <v>181</v>
      </c>
      <c r="C20" s="37" t="s">
        <v>182</v>
      </c>
      <c r="D20" s="17" t="n">
        <f aca="false">SUM(D14:D15)</f>
        <v>-8956.87</v>
      </c>
      <c r="E20" s="17" t="n">
        <f aca="false">SUM(E14:E15)</f>
        <v>91987.5800000001</v>
      </c>
      <c r="F20" s="17" t="n">
        <f aca="false">SUM(F14:F15)</f>
        <v>254412.2</v>
      </c>
      <c r="G20" s="17" t="n">
        <f aca="false">SUM(G14:G15)</f>
        <v>322141.67</v>
      </c>
      <c r="H20" s="17" t="n">
        <f aca="false">SUM(H14:H15)</f>
        <v>359998.49</v>
      </c>
      <c r="I20" s="17" t="n">
        <f aca="false">SUM(I14:I15)</f>
        <v>360151.73</v>
      </c>
      <c r="J20" s="17" t="n">
        <f aca="false">SUM(J14:J15)</f>
        <v>407285.5</v>
      </c>
      <c r="K20" s="17" t="n">
        <f aca="false">SUM(K14:K15)</f>
        <v>406762.75</v>
      </c>
      <c r="L20" s="17" t="n">
        <f aca="false">SUM(L14:L15)</f>
        <v>359628.69</v>
      </c>
      <c r="M20" s="17" t="n">
        <f aca="false">SUM(M14:M15)</f>
        <v>322895.89</v>
      </c>
    </row>
    <row r="21" customFormat="false" ht="15" hidden="false" customHeight="false" outlineLevel="0" collapsed="false">
      <c r="C21" s="37" t="s">
        <v>183</v>
      </c>
      <c r="D21" s="17" t="n">
        <f aca="false">D16-D20</f>
        <v>0</v>
      </c>
      <c r="E21" s="17" t="n">
        <f aca="false">E16-E20</f>
        <v>-1.16415321826935E-010</v>
      </c>
      <c r="F21" s="17" t="n">
        <f aca="false">F16-F20</f>
        <v>0</v>
      </c>
      <c r="G21" s="17" t="n">
        <f aca="false">G16-G20</f>
        <v>0</v>
      </c>
      <c r="H21" s="17" t="n">
        <f aca="false">H16-H20</f>
        <v>0</v>
      </c>
      <c r="I21" s="17" t="n">
        <f aca="false">I16-I20</f>
        <v>0</v>
      </c>
      <c r="J21" s="17" t="n">
        <f aca="false">J16-J20</f>
        <v>0</v>
      </c>
      <c r="K21" s="17" t="n">
        <f aca="false">K16-K20</f>
        <v>0</v>
      </c>
      <c r="L21" s="17" t="n">
        <f aca="false">L16-L20</f>
        <v>0</v>
      </c>
      <c r="M21" s="17" t="n">
        <f aca="false">M16-M20</f>
        <v>0</v>
      </c>
    </row>
    <row r="23" customFormat="false" ht="15" hidden="false" customHeight="false" outlineLevel="0" collapsed="false">
      <c r="B23" s="35" t="s">
        <v>184</v>
      </c>
      <c r="C23" s="35"/>
      <c r="D23" s="35"/>
    </row>
    <row r="24" customFormat="false" ht="15" hidden="false" customHeight="false" outlineLevel="0" collapsed="false">
      <c r="B24" s="0" t="s">
        <v>169</v>
      </c>
      <c r="C24" s="37" t="s">
        <v>170</v>
      </c>
      <c r="D24" s="1" t="n">
        <f aca="false">D4/D14</f>
        <v>0</v>
      </c>
      <c r="E24" s="1" t="n">
        <f aca="false">E4/E14</f>
        <v>0</v>
      </c>
      <c r="F24" s="1" t="n">
        <f aca="false">F4/F14</f>
        <v>0.387813760520963</v>
      </c>
      <c r="G24" s="1" t="n">
        <f aca="false">G4/G14</f>
        <v>0.469192923006745</v>
      </c>
      <c r="H24" s="1" t="n">
        <f aca="false">H4/H14</f>
        <v>0.555850690398403</v>
      </c>
      <c r="I24" s="1" t="n">
        <f aca="false">I4/I14</f>
        <v>0.618040118958416</v>
      </c>
      <c r="J24" s="1" t="n">
        <f aca="false">J4/J14</f>
        <v>0.718868456120787</v>
      </c>
      <c r="K24" s="1" t="n">
        <f aca="false">K4/K14</f>
        <v>0.772721925365464</v>
      </c>
      <c r="L24" s="1" t="n">
        <f aca="false">L4/L14</f>
        <v>0.764471754361326</v>
      </c>
      <c r="M24" s="1" t="n">
        <f aca="false">M4/M14</f>
        <v>0.771939050587337</v>
      </c>
    </row>
    <row r="25" customFormat="false" ht="15" hidden="false" customHeight="false" outlineLevel="0" collapsed="false">
      <c r="C25" s="37" t="s">
        <v>171</v>
      </c>
      <c r="D25" s="1" t="n">
        <f aca="false">D5/D15</f>
        <v>0.152882165691224</v>
      </c>
      <c r="E25" s="1" t="n">
        <f aca="false">E5/E15</f>
        <v>0.0779426704768422</v>
      </c>
      <c r="F25" s="1" t="n">
        <f aca="false">F5/F15</f>
        <v>0.405491842668472</v>
      </c>
      <c r="G25" s="1" t="n">
        <f aca="false">G5/G15</f>
        <v>0.482748626995981</v>
      </c>
      <c r="H25" s="1" t="n">
        <f aca="false">H5/H15</f>
        <v>0.566585034633833</v>
      </c>
      <c r="I25" s="1" t="n">
        <f aca="false">I5/I15</f>
        <v>0.626761181424815</v>
      </c>
      <c r="J25" s="1" t="n">
        <f aca="false">J5/J15</f>
        <v>0.724703105332979</v>
      </c>
      <c r="K25" s="1" t="n">
        <f aca="false">K5/K15</f>
        <v>0.776906734656164</v>
      </c>
      <c r="L25" s="1" t="n">
        <f aca="false">L5/L15</f>
        <v>0.773004020439228</v>
      </c>
      <c r="M25" s="1" t="n">
        <f aca="false">M5/M15</f>
        <v>0.780658514613213</v>
      </c>
    </row>
    <row r="26" customFormat="false" ht="15" hidden="false" customHeight="false" outlineLevel="0" collapsed="false">
      <c r="C26" s="37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B27" s="0" t="s">
        <v>172</v>
      </c>
      <c r="C27" s="37" t="s">
        <v>170</v>
      </c>
      <c r="D27" s="1" t="n">
        <f aca="false">D7/D15</f>
        <v>-0.110707775155714</v>
      </c>
      <c r="E27" s="1" t="n">
        <f aca="false">E7/E15</f>
        <v>-0.113991155572382</v>
      </c>
      <c r="F27" s="1" t="n">
        <f aca="false">F7/F15</f>
        <v>-0.0738736527618491</v>
      </c>
      <c r="G27" s="1" t="n">
        <f aca="false">G7/G15</f>
        <v>-0.0632870349294225</v>
      </c>
      <c r="H27" s="1" t="n">
        <f aca="false">H7/H15</f>
        <v>-0.0592926447399304</v>
      </c>
      <c r="I27" s="1" t="n">
        <f aca="false">I7/I15</f>
        <v>-0.0615818335922802</v>
      </c>
      <c r="J27" s="1" t="n">
        <f aca="false">J7/J15</f>
        <v>-0.0536144829160131</v>
      </c>
      <c r="K27" s="1" t="n">
        <f aca="false">K7/K15</f>
        <v>-0.053127863093747</v>
      </c>
      <c r="L27" s="1" t="n">
        <f aca="false">L7/L15</f>
        <v>-0.0624203279937723</v>
      </c>
      <c r="M27" s="1" t="n">
        <f aca="false">M7/M15</f>
        <v>-0.0693049646736193</v>
      </c>
    </row>
    <row r="28" customFormat="false" ht="15" hidden="false" customHeight="false" outlineLevel="0" collapsed="false">
      <c r="C28" s="37" t="s">
        <v>171</v>
      </c>
      <c r="D28" s="1" t="n">
        <f aca="false">D8/D15</f>
        <v>0.0718748088643441</v>
      </c>
      <c r="E28" s="1" t="n">
        <f aca="false">E8/E15</f>
        <v>0.0756787281845042</v>
      </c>
      <c r="F28" s="1" t="n">
        <f aca="false">F8/F15</f>
        <v>0.0494436357935056</v>
      </c>
      <c r="G28" s="1" t="n">
        <f aca="false">G8/G15</f>
        <v>0.0426997624668814</v>
      </c>
      <c r="H28" s="1" t="n">
        <f aca="false">H8/H15</f>
        <v>0.0391390747928281</v>
      </c>
      <c r="I28" s="1" t="n">
        <f aca="false">I8/I15</f>
        <v>0.0397510735838168</v>
      </c>
      <c r="J28" s="1" t="n">
        <f aca="false">J8/J15</f>
        <v>0.0338253772717127</v>
      </c>
      <c r="K28" s="1" t="n">
        <f aca="false">K8/K15</f>
        <v>0.0324558115639701</v>
      </c>
      <c r="L28" s="1" t="n">
        <f aca="false">L8/L15</f>
        <v>0.03688417181152</v>
      </c>
      <c r="M28" s="1" t="n">
        <f aca="false">M8/M15</f>
        <v>0.0395662043321693</v>
      </c>
    </row>
    <row r="29" customFormat="false" ht="15" hidden="false" customHeight="false" outlineLevel="0" collapsed="false">
      <c r="C29" s="37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B30" s="0" t="s">
        <v>174</v>
      </c>
      <c r="C30" s="37" t="s">
        <v>170</v>
      </c>
      <c r="D30" s="1" t="n">
        <f aca="false">D10/D14</f>
        <v>0.888236759249207</v>
      </c>
      <c r="E30" s="1" t="n">
        <f aca="false">E10/E14</f>
        <v>0.895384675911562</v>
      </c>
      <c r="F30" s="1" t="n">
        <f aca="false">F10/F14</f>
        <v>0.547803095642549</v>
      </c>
      <c r="G30" s="1" t="n">
        <f aca="false">G10/G14</f>
        <v>0.475823531328402</v>
      </c>
      <c r="H30" s="1" t="n">
        <f aca="false">H10/H14</f>
        <v>0.392581130316589</v>
      </c>
      <c r="I30" s="1" t="n">
        <f aca="false">I10/I14</f>
        <v>0.328310565159777</v>
      </c>
      <c r="J30" s="1" t="n">
        <f aca="false">J10/J14</f>
        <v>0.234330212100516</v>
      </c>
      <c r="K30" s="1" t="n">
        <f aca="false">K10/K14</f>
        <v>0.180840458927477</v>
      </c>
      <c r="L30" s="1" t="n">
        <f aca="false">L10/L14</f>
        <v>0.181233376720966</v>
      </c>
      <c r="M30" s="1" t="n">
        <f aca="false">M10/M14</f>
        <v>0.167753211085527</v>
      </c>
    </row>
    <row r="31" customFormat="false" ht="15" hidden="false" customHeight="false" outlineLevel="0" collapsed="false">
      <c r="C31" s="37" t="s">
        <v>171</v>
      </c>
      <c r="D31" s="1" t="n">
        <f aca="false">D11/D15</f>
        <v>0.775243025444432</v>
      </c>
      <c r="E31" s="1" t="n">
        <f aca="false">E11/E15</f>
        <v>0.846378601338654</v>
      </c>
      <c r="F31" s="1" t="n">
        <f aca="false">F11/F15</f>
        <v>0.545064521538023</v>
      </c>
      <c r="G31" s="1" t="n">
        <f aca="false">G11/G15</f>
        <v>0.474551610537138</v>
      </c>
      <c r="H31" s="1" t="n">
        <f aca="false">H11/H15</f>
        <v>0.39427589057334</v>
      </c>
      <c r="I31" s="1" t="n">
        <f aca="false">I11/I15</f>
        <v>0.333487744991368</v>
      </c>
      <c r="J31" s="1" t="n">
        <f aca="false">J11/J15</f>
        <v>0.241471517395308</v>
      </c>
      <c r="K31" s="1" t="n">
        <f aca="false">K11/K15</f>
        <v>0.190637453779866</v>
      </c>
      <c r="L31" s="1" t="n">
        <f aca="false">L11/L15</f>
        <v>0.190111807749252</v>
      </c>
      <c r="M31" s="1" t="n">
        <f aca="false">M11/M15</f>
        <v>0.179775281054618</v>
      </c>
    </row>
  </sheetData>
  <mergeCells count="2">
    <mergeCell ref="B1:G1"/>
    <mergeCell ref="B23:D2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J54" activeCellId="0" sqref="J54"/>
    </sheetView>
  </sheetViews>
  <sheetFormatPr defaultColWidth="10.14453125" defaultRowHeight="13.5" customHeight="false" zeroHeight="false" outlineLevelRow="0" outlineLevelCol="0"/>
  <cols>
    <col collapsed="false" customWidth="true" hidden="false" outlineLevel="0" max="1" min="1" style="0" width="54.57"/>
    <col collapsed="false" customWidth="true" hidden="false" outlineLevel="0" max="3" min="2" style="0" width="13.57"/>
    <col collapsed="false" customWidth="true" hidden="false" outlineLevel="0" max="4" min="4" style="0" width="11"/>
    <col collapsed="false" customWidth="true" hidden="false" outlineLevel="0" max="5" min="5" style="0" width="13.43"/>
    <col collapsed="false" customWidth="true" hidden="false" outlineLevel="0" max="6" min="6" style="0" width="11.43"/>
    <col collapsed="false" customWidth="true" hidden="false" outlineLevel="0" max="9" min="7" style="0" width="12.14"/>
    <col collapsed="false" customWidth="true" hidden="false" outlineLevel="0" max="10" min="10" style="0" width="10.43"/>
    <col collapsed="false" customWidth="true" hidden="false" outlineLevel="0" max="13" min="11" style="0" width="12.14"/>
    <col collapsed="false" customWidth="true" hidden="false" outlineLevel="0" max="18" min="14" style="0" width="11.43"/>
    <col collapsed="false" customWidth="true" hidden="false" outlineLevel="0" max="19" min="19" style="0" width="9.86"/>
  </cols>
  <sheetData>
    <row r="1" customFormat="false" ht="17.25" hidden="false" customHeight="false" outlineLevel="0" collapsed="false">
      <c r="A1" s="39" t="s">
        <v>185</v>
      </c>
      <c r="U1" s="40" t="s">
        <v>1</v>
      </c>
    </row>
    <row r="2" customFormat="false" ht="13.5" hidden="false" customHeight="false" outlineLevel="0" collapsed="false">
      <c r="A2" s="0" t="s">
        <v>186</v>
      </c>
    </row>
    <row r="3" customFormat="false" ht="13.5" hidden="false" customHeight="false" outlineLevel="0" collapsed="false">
      <c r="A3" s="35" t="s">
        <v>187</v>
      </c>
      <c r="B3" s="35"/>
      <c r="C3" s="35"/>
      <c r="D3" s="35"/>
      <c r="E3" s="35"/>
    </row>
    <row r="4" customFormat="false" ht="13.5" hidden="false" customHeight="false" outlineLevel="0" collapsed="false">
      <c r="A4" s="0" t="s">
        <v>188</v>
      </c>
    </row>
    <row r="5" customFormat="false" ht="13.8" hidden="false" customHeight="false" outlineLevel="0" collapsed="false"/>
    <row r="6" customFormat="false" ht="19.7" hidden="false" customHeight="false" outlineLevel="0" collapsed="false">
      <c r="A6" s="41" t="s">
        <v>189</v>
      </c>
    </row>
    <row r="7" customFormat="false" ht="13.5" hidden="false" customHeight="false" outlineLevel="0" collapsed="false">
      <c r="A7" s="42" t="s">
        <v>190</v>
      </c>
      <c r="B7" s="42"/>
      <c r="C7" s="43" t="n">
        <v>2026</v>
      </c>
      <c r="D7" s="44" t="n">
        <v>2027</v>
      </c>
      <c r="E7" s="44" t="n">
        <v>2028</v>
      </c>
      <c r="F7" s="44" t="n">
        <v>2029</v>
      </c>
      <c r="G7" s="44" t="n">
        <v>2030</v>
      </c>
      <c r="H7" s="44" t="n">
        <v>2031</v>
      </c>
      <c r="I7" s="44" t="n">
        <v>2032</v>
      </c>
      <c r="J7" s="44" t="n">
        <v>2033</v>
      </c>
      <c r="K7" s="44" t="n">
        <v>2034</v>
      </c>
      <c r="L7" s="44" t="n">
        <v>2035</v>
      </c>
      <c r="M7" s="44" t="n">
        <v>2036</v>
      </c>
      <c r="N7" s="44" t="n">
        <v>2037</v>
      </c>
      <c r="O7" s="44" t="n">
        <v>2038</v>
      </c>
      <c r="P7" s="44" t="n">
        <v>2039</v>
      </c>
      <c r="Q7" s="44" t="n">
        <v>2040</v>
      </c>
      <c r="R7" s="44" t="n">
        <v>2041</v>
      </c>
      <c r="S7" s="44" t="n">
        <v>2042</v>
      </c>
    </row>
    <row r="8" customFormat="false" ht="13.5" hidden="false" customHeight="false" outlineLevel="0" collapsed="false">
      <c r="A8" s="45" t="s">
        <v>191</v>
      </c>
      <c r="B8" s="45"/>
      <c r="C8" s="46" t="n">
        <v>1</v>
      </c>
      <c r="D8" s="45" t="n">
        <v>2</v>
      </c>
      <c r="E8" s="45" t="n">
        <v>3</v>
      </c>
      <c r="F8" s="45" t="n">
        <v>4</v>
      </c>
      <c r="G8" s="45" t="n">
        <v>5</v>
      </c>
      <c r="H8" s="45" t="n">
        <v>6</v>
      </c>
      <c r="I8" s="45" t="n">
        <v>7</v>
      </c>
      <c r="J8" s="45" t="n">
        <v>8</v>
      </c>
      <c r="K8" s="45" t="n">
        <v>9</v>
      </c>
      <c r="L8" s="45" t="n">
        <v>10</v>
      </c>
      <c r="M8" s="45" t="n">
        <v>11</v>
      </c>
      <c r="N8" s="45" t="n">
        <v>12</v>
      </c>
      <c r="O8" s="45" t="n">
        <v>13</v>
      </c>
      <c r="P8" s="45" t="n">
        <v>14</v>
      </c>
      <c r="Q8" s="45" t="n">
        <v>15</v>
      </c>
      <c r="R8" s="45" t="n">
        <v>16</v>
      </c>
      <c r="S8" s="45" t="n">
        <v>17</v>
      </c>
      <c r="U8" s="16" t="s">
        <v>192</v>
      </c>
    </row>
    <row r="9" customFormat="false" ht="31.3" hidden="false" customHeight="false" outlineLevel="0" collapsed="false">
      <c r="A9" s="47" t="s">
        <v>193</v>
      </c>
      <c r="B9" s="16" t="n">
        <f aca="false">SUM(C9:S9)</f>
        <v>100</v>
      </c>
      <c r="C9" s="48" t="n">
        <v>0</v>
      </c>
      <c r="D9" s="49" t="n">
        <v>0</v>
      </c>
      <c r="E9" s="49" t="n">
        <v>4</v>
      </c>
      <c r="F9" s="49" t="n">
        <v>6</v>
      </c>
      <c r="G9" s="49" t="n">
        <v>8</v>
      </c>
      <c r="H9" s="49" t="n">
        <v>9</v>
      </c>
      <c r="I9" s="49" t="n">
        <v>12</v>
      </c>
      <c r="J9" s="49" t="n">
        <v>13</v>
      </c>
      <c r="K9" s="49" t="n">
        <v>11</v>
      </c>
      <c r="L9" s="49" t="n">
        <v>10</v>
      </c>
      <c r="M9" s="49" t="n">
        <v>9</v>
      </c>
      <c r="N9" s="49" t="n">
        <v>5</v>
      </c>
      <c r="O9" s="49" t="n">
        <v>4</v>
      </c>
      <c r="P9" s="49" t="n">
        <v>3</v>
      </c>
      <c r="Q9" s="49" t="n">
        <v>3</v>
      </c>
      <c r="R9" s="49" t="n">
        <v>2</v>
      </c>
      <c r="S9" s="49" t="n">
        <v>1</v>
      </c>
      <c r="U9" s="0" t="s">
        <v>194</v>
      </c>
    </row>
    <row r="10" customFormat="false" ht="13.5" hidden="false" customHeight="false" outlineLevel="0" collapsed="false">
      <c r="A10" s="45" t="s">
        <v>195</v>
      </c>
      <c r="B10" s="50"/>
      <c r="C10" s="51" t="n">
        <f aca="false">C9/$B$9</f>
        <v>0</v>
      </c>
      <c r="D10" s="52" t="n">
        <f aca="false">D9/$B$9</f>
        <v>0</v>
      </c>
      <c r="E10" s="52" t="n">
        <f aca="false">E9/$B$9</f>
        <v>0.04</v>
      </c>
      <c r="F10" s="52" t="n">
        <f aca="false">F9/$B$9</f>
        <v>0.06</v>
      </c>
      <c r="G10" s="52" t="n">
        <f aca="false">G9/$B$9</f>
        <v>0.08</v>
      </c>
      <c r="H10" s="52" t="n">
        <f aca="false">H9/$B$9</f>
        <v>0.09</v>
      </c>
      <c r="I10" s="52" t="n">
        <f aca="false">I9/$B$9</f>
        <v>0.12</v>
      </c>
      <c r="J10" s="52" t="n">
        <f aca="false">J9/$B$9</f>
        <v>0.13</v>
      </c>
      <c r="K10" s="52" t="n">
        <f aca="false">K9/$B$9</f>
        <v>0.11</v>
      </c>
      <c r="L10" s="52" t="n">
        <f aca="false">L9/$B$9</f>
        <v>0.1</v>
      </c>
      <c r="M10" s="52" t="n">
        <f aca="false">M9/$B$9</f>
        <v>0.09</v>
      </c>
      <c r="N10" s="52" t="n">
        <f aca="false">N9/$B$9</f>
        <v>0.05</v>
      </c>
      <c r="O10" s="52" t="n">
        <f aca="false">O9/$B$9</f>
        <v>0.04</v>
      </c>
      <c r="P10" s="52" t="n">
        <f aca="false">P9/$B$9</f>
        <v>0.03</v>
      </c>
      <c r="Q10" s="52" t="n">
        <f aca="false">Q9/$B$9</f>
        <v>0.03</v>
      </c>
      <c r="R10" s="52" t="n">
        <f aca="false">R9/$B$9</f>
        <v>0.02</v>
      </c>
      <c r="S10" s="52" t="n">
        <f aca="false">S9/$B$9</f>
        <v>0.01</v>
      </c>
      <c r="U10" s="0" t="s">
        <v>196</v>
      </c>
    </row>
    <row r="11" customFormat="false" ht="13.5" hidden="false" customHeight="false" outlineLevel="0" collapsed="false">
      <c r="C11" s="5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3.5" hidden="false" customHeight="false" outlineLevel="0" collapsed="false">
      <c r="A12" s="42" t="s">
        <v>197</v>
      </c>
      <c r="B12" s="54"/>
      <c r="C12" s="55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U12" s="16" t="s">
        <v>198</v>
      </c>
    </row>
    <row r="13" customFormat="false" ht="13.5" hidden="false" customHeight="false" outlineLevel="0" collapsed="false">
      <c r="A13" s="0" t="s">
        <v>199</v>
      </c>
      <c r="C13" s="48" t="n">
        <v>110000</v>
      </c>
      <c r="D13" s="49" t="n">
        <v>48000</v>
      </c>
    </row>
    <row r="14" customFormat="false" ht="15.75" hidden="false" customHeight="false" outlineLevel="0" collapsed="false">
      <c r="A14" s="0" t="s">
        <v>200</v>
      </c>
      <c r="B14" s="17"/>
      <c r="C14" s="56" t="n">
        <v>35000</v>
      </c>
      <c r="D14" s="57" t="n">
        <v>32000</v>
      </c>
      <c r="E14" s="57" t="n">
        <v>28000</v>
      </c>
      <c r="F14" s="57" t="n">
        <v>22000</v>
      </c>
      <c r="G14" s="57" t="n">
        <v>18000</v>
      </c>
      <c r="H14" s="57" t="n">
        <v>15000</v>
      </c>
      <c r="I14" s="57" t="n">
        <v>12000</v>
      </c>
      <c r="J14" s="57" t="n">
        <v>10000</v>
      </c>
      <c r="K14" s="57" t="n">
        <v>10000</v>
      </c>
      <c r="L14" s="57" t="n">
        <v>10000</v>
      </c>
      <c r="M14" s="57" t="n">
        <v>8000</v>
      </c>
      <c r="N14" s="57" t="n">
        <v>8000</v>
      </c>
      <c r="O14" s="57" t="n">
        <v>6000</v>
      </c>
      <c r="P14" s="57" t="n">
        <v>6000</v>
      </c>
      <c r="Q14" s="57" t="n">
        <v>5000</v>
      </c>
      <c r="R14" s="57" t="n">
        <v>4000</v>
      </c>
      <c r="S14" s="57" t="n">
        <v>4000</v>
      </c>
    </row>
    <row r="15" customFormat="false" ht="13.8" hidden="false" customHeight="false" outlineLevel="0" collapsed="false">
      <c r="A15" s="45" t="s">
        <v>201</v>
      </c>
      <c r="B15" s="58" t="n">
        <f aca="false">SUM(C15:S15)</f>
        <v>391000</v>
      </c>
      <c r="C15" s="59" t="n">
        <f aca="false">SUM(C12:C14)</f>
        <v>145000</v>
      </c>
      <c r="D15" s="58" t="n">
        <f aca="false">SUM(D12:D14)</f>
        <v>80000</v>
      </c>
      <c r="E15" s="58" t="n">
        <f aca="false">SUM(E12:E14)</f>
        <v>28000</v>
      </c>
      <c r="F15" s="58" t="n">
        <f aca="false">SUM(F12:F14)</f>
        <v>22000</v>
      </c>
      <c r="G15" s="58" t="n">
        <f aca="false">SUM(G12:G14)</f>
        <v>18000</v>
      </c>
      <c r="H15" s="58" t="n">
        <f aca="false">SUM(H12:H14)</f>
        <v>15000</v>
      </c>
      <c r="I15" s="58" t="n">
        <f aca="false">SUM(I12:I14)</f>
        <v>12000</v>
      </c>
      <c r="J15" s="58" t="n">
        <f aca="false">SUM(J12:J14)</f>
        <v>10000</v>
      </c>
      <c r="K15" s="58" t="n">
        <f aca="false">SUM(K12:K14)</f>
        <v>10000</v>
      </c>
      <c r="L15" s="58" t="n">
        <f aca="false">SUM(L12:L14)</f>
        <v>10000</v>
      </c>
      <c r="M15" s="58" t="n">
        <f aca="false">SUM(M12:M14)</f>
        <v>8000</v>
      </c>
      <c r="N15" s="58" t="n">
        <f aca="false">SUM(N12:N14)</f>
        <v>8000</v>
      </c>
      <c r="O15" s="58" t="n">
        <f aca="false">SUM(O12:O14)</f>
        <v>6000</v>
      </c>
      <c r="P15" s="58" t="n">
        <f aca="false">SUM(P12:P14)</f>
        <v>6000</v>
      </c>
      <c r="Q15" s="58" t="n">
        <f aca="false">SUM(Q12:Q14)</f>
        <v>5000</v>
      </c>
      <c r="R15" s="58" t="n">
        <f aca="false">SUM(R12:R14)</f>
        <v>4000</v>
      </c>
      <c r="S15" s="58" t="n">
        <f aca="false">SUM(S12:S14)</f>
        <v>4000</v>
      </c>
    </row>
    <row r="16" customFormat="false" ht="13.8" hidden="false" customHeight="false" outlineLevel="0" collapsed="false">
      <c r="C16" s="10"/>
    </row>
    <row r="17" customFormat="false" ht="13.8" hidden="false" customHeight="false" outlineLevel="0" collapsed="false">
      <c r="C17" s="10"/>
      <c r="U17" s="0" t="s">
        <v>202</v>
      </c>
    </row>
    <row r="18" customFormat="false" ht="13.8" hidden="false" customHeight="false" outlineLevel="0" collapsed="false">
      <c r="A18" s="42" t="s">
        <v>203</v>
      </c>
      <c r="B18" s="42"/>
      <c r="C18" s="60"/>
      <c r="D18" s="42" t="s">
        <v>204</v>
      </c>
      <c r="E18" s="42" t="s">
        <v>205</v>
      </c>
      <c r="F18" s="16"/>
    </row>
    <row r="19" customFormat="false" ht="13.8" hidden="false" customHeight="false" outlineLevel="0" collapsed="false">
      <c r="A19" s="0" t="s">
        <v>206</v>
      </c>
      <c r="C19" s="61" t="n">
        <f aca="false">D19*E19</f>
        <v>19200000</v>
      </c>
      <c r="D19" s="49" t="n">
        <v>24000</v>
      </c>
      <c r="E19" s="49" t="n">
        <v>800</v>
      </c>
      <c r="U19" s="62"/>
    </row>
    <row r="20" customFormat="false" ht="13.8" hidden="false" customHeight="false" outlineLevel="0" collapsed="false">
      <c r="A20" s="0" t="s">
        <v>207</v>
      </c>
      <c r="C20" s="63" t="n">
        <v>0.6</v>
      </c>
    </row>
    <row r="21" customFormat="false" ht="13.8" hidden="false" customHeight="false" outlineLevel="0" collapsed="false">
      <c r="A21" s="0" t="s">
        <v>208</v>
      </c>
      <c r="C21" s="63" t="n">
        <v>0.76</v>
      </c>
      <c r="D21" s="0" t="s">
        <v>209</v>
      </c>
    </row>
    <row r="22" customFormat="false" ht="13.8" hidden="false" customHeight="false" outlineLevel="0" collapsed="false">
      <c r="A22" s="0" t="s">
        <v>210</v>
      </c>
      <c r="C22" s="63" t="n">
        <v>0.27</v>
      </c>
    </row>
    <row r="23" customFormat="false" ht="13.8" hidden="false" customHeight="false" outlineLevel="0" collapsed="false">
      <c r="A23" s="0" t="s">
        <v>211</v>
      </c>
      <c r="C23" s="63" t="n">
        <v>0.05</v>
      </c>
    </row>
    <row r="24" customFormat="false" ht="13.8" hidden="false" customHeight="false" outlineLevel="0" collapsed="false">
      <c r="C24" s="10"/>
    </row>
    <row r="25" customFormat="false" ht="13.8" hidden="false" customHeight="false" outlineLevel="0" collapsed="false">
      <c r="A25" s="42" t="s">
        <v>212</v>
      </c>
      <c r="B25" s="54"/>
      <c r="C25" s="43" t="n">
        <v>2026</v>
      </c>
      <c r="D25" s="44" t="n">
        <v>2027</v>
      </c>
      <c r="E25" s="44" t="n">
        <v>2028</v>
      </c>
      <c r="F25" s="44" t="n">
        <v>2029</v>
      </c>
      <c r="G25" s="44" t="n">
        <v>2030</v>
      </c>
      <c r="H25" s="44" t="n">
        <v>2031</v>
      </c>
      <c r="I25" s="44" t="n">
        <v>2032</v>
      </c>
      <c r="J25" s="44" t="n">
        <v>2033</v>
      </c>
      <c r="K25" s="44" t="n">
        <v>2034</v>
      </c>
      <c r="L25" s="44" t="n">
        <v>2035</v>
      </c>
      <c r="M25" s="44" t="n">
        <v>2036</v>
      </c>
      <c r="N25" s="44" t="n">
        <v>2037</v>
      </c>
      <c r="O25" s="44" t="n">
        <v>2038</v>
      </c>
      <c r="P25" s="44" t="n">
        <v>2039</v>
      </c>
      <c r="Q25" s="44" t="n">
        <v>2040</v>
      </c>
      <c r="R25" s="44" t="n">
        <v>2041</v>
      </c>
      <c r="S25" s="44" t="n">
        <v>2042</v>
      </c>
    </row>
    <row r="26" customFormat="false" ht="13.8" hidden="false" customHeight="false" outlineLevel="0" collapsed="false">
      <c r="A26" s="0" t="s">
        <v>213</v>
      </c>
      <c r="C26" s="64" t="n">
        <f aca="false">$C$19*C10</f>
        <v>0</v>
      </c>
      <c r="D26" s="17" t="n">
        <f aca="false">$C$19*D10</f>
        <v>0</v>
      </c>
      <c r="E26" s="17" t="n">
        <f aca="false">$C$19*E10</f>
        <v>768000</v>
      </c>
      <c r="F26" s="17" t="n">
        <f aca="false">$C$19*F10</f>
        <v>1152000</v>
      </c>
      <c r="G26" s="17" t="n">
        <f aca="false">$C$19*G10</f>
        <v>1536000</v>
      </c>
      <c r="H26" s="17" t="n">
        <f aca="false">$C$19*H10</f>
        <v>1728000</v>
      </c>
      <c r="I26" s="17" t="n">
        <f aca="false">$C$19*I10</f>
        <v>2304000</v>
      </c>
      <c r="J26" s="17" t="n">
        <f aca="false">$C$19*J10</f>
        <v>2496000</v>
      </c>
      <c r="K26" s="17" t="n">
        <f aca="false">$C$19*K10</f>
        <v>2112000</v>
      </c>
      <c r="L26" s="17" t="n">
        <f aca="false">$C$19*L10</f>
        <v>1920000</v>
      </c>
      <c r="M26" s="17" t="n">
        <f aca="false">$C$19*M10</f>
        <v>1728000</v>
      </c>
      <c r="N26" s="17" t="n">
        <f aca="false">$C$19*N10</f>
        <v>960000</v>
      </c>
      <c r="O26" s="17" t="n">
        <f aca="false">$C$19*O10</f>
        <v>768000</v>
      </c>
      <c r="P26" s="17" t="n">
        <f aca="false">$C$19*P10</f>
        <v>576000</v>
      </c>
      <c r="Q26" s="17" t="n">
        <f aca="false">$C$19*Q10</f>
        <v>576000</v>
      </c>
      <c r="R26" s="17" t="n">
        <f aca="false">$C$19*R10</f>
        <v>384000</v>
      </c>
      <c r="S26" s="17" t="n">
        <f aca="false">$C$19*S10</f>
        <v>192000</v>
      </c>
    </row>
    <row r="27" customFormat="false" ht="13.8" hidden="false" customHeight="false" outlineLevel="0" collapsed="false">
      <c r="A27" s="0" t="s">
        <v>214</v>
      </c>
      <c r="C27" s="64" t="n">
        <f aca="false">-C26*$C$21</f>
        <v>0</v>
      </c>
      <c r="D27" s="17" t="n">
        <f aca="false">-D26*$C$21</f>
        <v>0</v>
      </c>
      <c r="E27" s="17" t="n">
        <f aca="false">-E26*$C$21</f>
        <v>-583680</v>
      </c>
      <c r="F27" s="17" t="n">
        <f aca="false">-F26*$C$21</f>
        <v>-875520</v>
      </c>
      <c r="G27" s="17" t="n">
        <f aca="false">-G26*$C$21</f>
        <v>-1167360</v>
      </c>
      <c r="H27" s="17" t="n">
        <f aca="false">-H26*$C$21</f>
        <v>-1313280</v>
      </c>
      <c r="I27" s="17" t="n">
        <f aca="false">-I26*$C$21</f>
        <v>-1751040</v>
      </c>
      <c r="J27" s="17" t="n">
        <f aca="false">-J26*$C$21</f>
        <v>-1896960</v>
      </c>
      <c r="K27" s="17" t="n">
        <f aca="false">-K26*$C$21</f>
        <v>-1605120</v>
      </c>
      <c r="L27" s="17" t="n">
        <f aca="false">-L26*$C$21</f>
        <v>-1459200</v>
      </c>
      <c r="M27" s="17" t="n">
        <f aca="false">-M26*$C$21</f>
        <v>-1313280</v>
      </c>
      <c r="N27" s="17" t="n">
        <f aca="false">-N26*$C$21</f>
        <v>-729600</v>
      </c>
      <c r="O27" s="17" t="n">
        <f aca="false">-O26*$C$21</f>
        <v>-583680</v>
      </c>
      <c r="P27" s="17" t="n">
        <f aca="false">-P26*$C$21</f>
        <v>-437760</v>
      </c>
      <c r="Q27" s="17" t="n">
        <f aca="false">-Q26*$C$21</f>
        <v>-437760</v>
      </c>
      <c r="R27" s="17" t="n">
        <f aca="false">-R26*$C$21</f>
        <v>-291840</v>
      </c>
      <c r="S27" s="17" t="n">
        <f aca="false">-S26*$C$21</f>
        <v>-145920</v>
      </c>
    </row>
    <row r="28" customFormat="false" ht="13.8" hidden="false" customHeight="false" outlineLevel="0" collapsed="false">
      <c r="A28" s="42" t="s">
        <v>215</v>
      </c>
      <c r="B28" s="42"/>
      <c r="C28" s="65" t="n">
        <f aca="false">SUM(C26:C27)</f>
        <v>0</v>
      </c>
      <c r="D28" s="66" t="n">
        <f aca="false">SUM(D26:D27)</f>
        <v>0</v>
      </c>
      <c r="E28" s="66" t="n">
        <f aca="false">SUM(E26:E27)</f>
        <v>184320</v>
      </c>
      <c r="F28" s="66" t="n">
        <f aca="false">SUM(F26:F27)</f>
        <v>276480</v>
      </c>
      <c r="G28" s="66" t="n">
        <f aca="false">SUM(G26:G27)</f>
        <v>368640</v>
      </c>
      <c r="H28" s="66" t="n">
        <f aca="false">SUM(H26:H27)</f>
        <v>414720</v>
      </c>
      <c r="I28" s="66" t="n">
        <f aca="false">SUM(I26:I27)</f>
        <v>552960</v>
      </c>
      <c r="J28" s="66" t="n">
        <f aca="false">SUM(J26:J27)</f>
        <v>599040</v>
      </c>
      <c r="K28" s="66" t="n">
        <f aca="false">SUM(K26:K27)</f>
        <v>506880</v>
      </c>
      <c r="L28" s="66" t="n">
        <f aca="false">SUM(L26:L27)</f>
        <v>460800</v>
      </c>
      <c r="M28" s="66" t="n">
        <f aca="false">SUM(M26:M27)</f>
        <v>414720</v>
      </c>
      <c r="N28" s="66" t="n">
        <f aca="false">SUM(N26:N27)</f>
        <v>230400</v>
      </c>
      <c r="O28" s="66" t="n">
        <f aca="false">SUM(O26:O27)</f>
        <v>184320</v>
      </c>
      <c r="P28" s="66" t="n">
        <f aca="false">SUM(P26:P27)</f>
        <v>138240</v>
      </c>
      <c r="Q28" s="66" t="n">
        <f aca="false">SUM(Q26:Q27)</f>
        <v>138240</v>
      </c>
      <c r="R28" s="66" t="n">
        <f aca="false">SUM(R26:R27)</f>
        <v>92160</v>
      </c>
      <c r="S28" s="66" t="n">
        <f aca="false">SUM(S26:S27)</f>
        <v>46080</v>
      </c>
    </row>
    <row r="29" customFormat="false" ht="13.8" hidden="false" customHeight="false" outlineLevel="0" collapsed="false">
      <c r="A29" s="0" t="s">
        <v>216</v>
      </c>
      <c r="C29" s="64" t="n">
        <f aca="false">-C15</f>
        <v>-145000</v>
      </c>
      <c r="D29" s="17" t="n">
        <f aca="false">-D15</f>
        <v>-80000</v>
      </c>
      <c r="E29" s="17" t="n">
        <f aca="false">-E15</f>
        <v>-28000</v>
      </c>
      <c r="F29" s="17" t="n">
        <f aca="false">-F15</f>
        <v>-22000</v>
      </c>
      <c r="G29" s="17" t="n">
        <f aca="false">-G15</f>
        <v>-18000</v>
      </c>
      <c r="H29" s="17" t="n">
        <f aca="false">-H15</f>
        <v>-15000</v>
      </c>
      <c r="I29" s="17" t="n">
        <f aca="false">-I15</f>
        <v>-12000</v>
      </c>
      <c r="J29" s="17" t="n">
        <f aca="false">-J15</f>
        <v>-10000</v>
      </c>
      <c r="K29" s="17" t="n">
        <f aca="false">-K15</f>
        <v>-10000</v>
      </c>
      <c r="L29" s="17" t="n">
        <f aca="false">-L15</f>
        <v>-10000</v>
      </c>
      <c r="M29" s="17" t="n">
        <f aca="false">-M15</f>
        <v>-8000</v>
      </c>
      <c r="N29" s="17" t="n">
        <f aca="false">-N15</f>
        <v>-8000</v>
      </c>
      <c r="O29" s="17" t="n">
        <f aca="false">-O15</f>
        <v>-6000</v>
      </c>
      <c r="P29" s="17" t="n">
        <f aca="false">-P15</f>
        <v>-6000</v>
      </c>
      <c r="Q29" s="17" t="n">
        <f aca="false">-Q15</f>
        <v>-5000</v>
      </c>
      <c r="R29" s="17" t="n">
        <f aca="false">-R15</f>
        <v>-4000</v>
      </c>
      <c r="S29" s="17" t="n">
        <f aca="false">-S15</f>
        <v>-4000</v>
      </c>
    </row>
    <row r="30" customFormat="false" ht="13.8" hidden="false" customHeight="false" outlineLevel="0" collapsed="false">
      <c r="A30" s="0" t="s">
        <v>217</v>
      </c>
      <c r="C30" s="64" t="n">
        <f aca="false">-C26*$C$23</f>
        <v>0</v>
      </c>
      <c r="D30" s="17" t="n">
        <f aca="false">-D26*$C$23</f>
        <v>0</v>
      </c>
      <c r="E30" s="17" t="n">
        <f aca="false">-E26*$C$23</f>
        <v>-38400</v>
      </c>
      <c r="F30" s="17" t="n">
        <f aca="false">-F26*$C$23</f>
        <v>-57600</v>
      </c>
      <c r="G30" s="17" t="n">
        <f aca="false">-G26*$C$23</f>
        <v>-76800</v>
      </c>
      <c r="H30" s="17" t="n">
        <f aca="false">-H26*$C$23</f>
        <v>-86400</v>
      </c>
      <c r="I30" s="17" t="n">
        <f aca="false">-I26*$C$23</f>
        <v>-115200</v>
      </c>
      <c r="J30" s="17" t="n">
        <f aca="false">-J26*$C$23</f>
        <v>-124800</v>
      </c>
      <c r="K30" s="17" t="n">
        <f aca="false">-K26*$C$23</f>
        <v>-105600</v>
      </c>
      <c r="L30" s="17" t="n">
        <f aca="false">-L26*$C$23</f>
        <v>-96000</v>
      </c>
      <c r="M30" s="17" t="n">
        <f aca="false">-M26*$C$23</f>
        <v>-86400</v>
      </c>
      <c r="N30" s="17" t="n">
        <f aca="false">-N26*$C$23</f>
        <v>-48000</v>
      </c>
      <c r="O30" s="17" t="n">
        <f aca="false">-O26*$C$23</f>
        <v>-38400</v>
      </c>
      <c r="P30" s="17" t="n">
        <f aca="false">-P26*$C$23</f>
        <v>-28800</v>
      </c>
      <c r="Q30" s="17" t="n">
        <f aca="false">-Q26*$C$23</f>
        <v>-28800</v>
      </c>
      <c r="R30" s="17" t="n">
        <f aca="false">-R26*$C$23</f>
        <v>-19200</v>
      </c>
      <c r="S30" s="17" t="n">
        <f aca="false">-S26*$C$23</f>
        <v>-9600</v>
      </c>
    </row>
    <row r="31" customFormat="false" ht="13.8" hidden="false" customHeight="false" outlineLevel="0" collapsed="false">
      <c r="A31" s="0" t="s">
        <v>218</v>
      </c>
      <c r="C31" s="64" t="n">
        <f aca="false">SUM(C28:C30)</f>
        <v>-145000</v>
      </c>
      <c r="D31" s="17" t="n">
        <f aca="false">SUM(D28:D30)</f>
        <v>-80000</v>
      </c>
      <c r="E31" s="17" t="n">
        <f aca="false">SUM(E28:E30)</f>
        <v>117920</v>
      </c>
      <c r="F31" s="17" t="n">
        <f aca="false">SUM(F28:F30)</f>
        <v>196880</v>
      </c>
      <c r="G31" s="17" t="n">
        <f aca="false">SUM(G28:G30)</f>
        <v>273840</v>
      </c>
      <c r="H31" s="17" t="n">
        <f aca="false">SUM(H28:H30)</f>
        <v>313320</v>
      </c>
      <c r="I31" s="17" t="n">
        <f aca="false">SUM(I28:I30)</f>
        <v>425760</v>
      </c>
      <c r="J31" s="17" t="n">
        <f aca="false">SUM(J28:J30)</f>
        <v>464240</v>
      </c>
      <c r="K31" s="17" t="n">
        <f aca="false">SUM(K28:K30)</f>
        <v>391280</v>
      </c>
      <c r="L31" s="17" t="n">
        <f aca="false">SUM(L28:L30)</f>
        <v>354800</v>
      </c>
      <c r="M31" s="17" t="n">
        <f aca="false">SUM(M28:M30)</f>
        <v>320320</v>
      </c>
      <c r="N31" s="17" t="n">
        <f aca="false">SUM(N28:N30)</f>
        <v>174400</v>
      </c>
      <c r="O31" s="17" t="n">
        <f aca="false">SUM(O28:O30)</f>
        <v>139920</v>
      </c>
      <c r="P31" s="17" t="n">
        <f aca="false">SUM(P28:P30)</f>
        <v>103440</v>
      </c>
      <c r="Q31" s="17" t="n">
        <f aca="false">SUM(Q28:Q30)</f>
        <v>104440</v>
      </c>
      <c r="R31" s="17" t="n">
        <f aca="false">SUM(R28:R30)</f>
        <v>68960</v>
      </c>
      <c r="S31" s="17" t="n">
        <f aca="false">SUM(S28:S30)</f>
        <v>32480</v>
      </c>
    </row>
    <row r="32" customFormat="false" ht="13.8" hidden="false" customHeight="false" outlineLevel="0" collapsed="false">
      <c r="A32" s="37" t="s">
        <v>219</v>
      </c>
      <c r="B32" s="37"/>
      <c r="C32" s="64" t="n">
        <f aca="false">-C28*$C$22</f>
        <v>0</v>
      </c>
      <c r="D32" s="17" t="n">
        <f aca="false">-D28*$C$22</f>
        <v>0</v>
      </c>
      <c r="E32" s="17" t="n">
        <f aca="false">-E28*$C$22</f>
        <v>-49766.4</v>
      </c>
      <c r="F32" s="17" t="n">
        <f aca="false">-F28*$C$22</f>
        <v>-74649.6</v>
      </c>
      <c r="G32" s="17" t="n">
        <f aca="false">-G28*$C$22</f>
        <v>-99532.8</v>
      </c>
      <c r="H32" s="17" t="n">
        <f aca="false">-H28*$C$22</f>
        <v>-111974.4</v>
      </c>
      <c r="I32" s="17" t="n">
        <f aca="false">-I28*$C$22</f>
        <v>-149299.2</v>
      </c>
      <c r="J32" s="17" t="n">
        <f aca="false">-J28*$C$22</f>
        <v>-161740.8</v>
      </c>
      <c r="K32" s="17" t="n">
        <f aca="false">-K28*$C$22</f>
        <v>-136857.6</v>
      </c>
      <c r="L32" s="17" t="n">
        <f aca="false">-L28*$C$22</f>
        <v>-124416</v>
      </c>
      <c r="M32" s="17" t="n">
        <f aca="false">-M28*$C$22</f>
        <v>-111974.4</v>
      </c>
      <c r="N32" s="17" t="n">
        <f aca="false">-N28*$C$22</f>
        <v>-62208</v>
      </c>
      <c r="O32" s="17" t="n">
        <f aca="false">-O28*$C$22</f>
        <v>-49766.4</v>
      </c>
      <c r="P32" s="17" t="n">
        <f aca="false">-P28*$C$22</f>
        <v>-37324.8</v>
      </c>
      <c r="Q32" s="17" t="n">
        <f aca="false">-Q28*$C$22</f>
        <v>-37324.8</v>
      </c>
      <c r="R32" s="17" t="n">
        <f aca="false">-R28*$C$22</f>
        <v>-24883.2</v>
      </c>
      <c r="S32" s="17" t="n">
        <f aca="false">-S28*$C$22</f>
        <v>-12441.6</v>
      </c>
    </row>
    <row r="33" customFormat="false" ht="13.8" hidden="false" customHeight="false" outlineLevel="0" collapsed="false">
      <c r="A33" s="67" t="s">
        <v>220</v>
      </c>
      <c r="B33" s="67"/>
      <c r="C33" s="65" t="n">
        <f aca="false">SUM(C31:C32)</f>
        <v>-145000</v>
      </c>
      <c r="D33" s="66" t="n">
        <f aca="false">SUM(D31:D32)</f>
        <v>-80000</v>
      </c>
      <c r="E33" s="66" t="n">
        <f aca="false">SUM(E31:E32)</f>
        <v>68153.6</v>
      </c>
      <c r="F33" s="66" t="n">
        <f aca="false">SUM(F31:F32)</f>
        <v>122230.4</v>
      </c>
      <c r="G33" s="66" t="n">
        <f aca="false">SUM(G31:G32)</f>
        <v>174307.2</v>
      </c>
      <c r="H33" s="66" t="n">
        <f aca="false">SUM(H31:H32)</f>
        <v>201345.6</v>
      </c>
      <c r="I33" s="66" t="n">
        <f aca="false">SUM(I31:I32)</f>
        <v>276460.8</v>
      </c>
      <c r="J33" s="66" t="n">
        <f aca="false">SUM(J31:J32)</f>
        <v>302499.2</v>
      </c>
      <c r="K33" s="66" t="n">
        <f aca="false">SUM(K31:K32)</f>
        <v>254422.4</v>
      </c>
      <c r="L33" s="66" t="n">
        <f aca="false">SUM(L31:L32)</f>
        <v>230384</v>
      </c>
      <c r="M33" s="66" t="n">
        <f aca="false">SUM(M31:M32)</f>
        <v>208345.6</v>
      </c>
      <c r="N33" s="66" t="n">
        <f aca="false">SUM(N31:N32)</f>
        <v>112192</v>
      </c>
      <c r="O33" s="66" t="n">
        <f aca="false">SUM(O31:O32)</f>
        <v>90153.6</v>
      </c>
      <c r="P33" s="66" t="n">
        <f aca="false">SUM(P31:P32)</f>
        <v>66115.2</v>
      </c>
      <c r="Q33" s="66" t="n">
        <f aca="false">SUM(Q31:Q32)</f>
        <v>67115.2</v>
      </c>
      <c r="R33" s="66" t="n">
        <f aca="false">SUM(R31:R32)</f>
        <v>44076.8</v>
      </c>
      <c r="S33" s="66" t="n">
        <f aca="false">SUM(S31:S32)</f>
        <v>20038.4</v>
      </c>
    </row>
    <row r="34" customFormat="false" ht="13.8" hidden="false" customHeight="false" outlineLevel="0" collapsed="false">
      <c r="A34" s="67" t="s">
        <v>221</v>
      </c>
      <c r="B34" s="67"/>
      <c r="C34" s="65" t="n">
        <f aca="false">C33</f>
        <v>-145000</v>
      </c>
      <c r="D34" s="66" t="n">
        <f aca="false">C34+D33</f>
        <v>-225000</v>
      </c>
      <c r="E34" s="66" t="n">
        <f aca="false">D34+E33</f>
        <v>-156846.4</v>
      </c>
      <c r="F34" s="66" t="n">
        <f aca="false">E34+F33</f>
        <v>-34616</v>
      </c>
      <c r="G34" s="66" t="n">
        <f aca="false">F34+G33</f>
        <v>139691.2</v>
      </c>
      <c r="H34" s="66" t="n">
        <f aca="false">G34+H33</f>
        <v>341036.8</v>
      </c>
      <c r="I34" s="66" t="n">
        <f aca="false">H34+I33</f>
        <v>617497.6</v>
      </c>
      <c r="J34" s="66" t="n">
        <f aca="false">I34+J33</f>
        <v>919996.8</v>
      </c>
      <c r="K34" s="66" t="n">
        <f aca="false">J34+K33</f>
        <v>1174419.2</v>
      </c>
      <c r="L34" s="66" t="n">
        <f aca="false">K34+L33</f>
        <v>1404803.2</v>
      </c>
      <c r="M34" s="66" t="n">
        <f aca="false">L34+M33</f>
        <v>1613148.8</v>
      </c>
      <c r="N34" s="66" t="n">
        <f aca="false">M34+N33</f>
        <v>1725340.8</v>
      </c>
      <c r="O34" s="66" t="n">
        <f aca="false">N34+O33</f>
        <v>1815494.4</v>
      </c>
      <c r="P34" s="66" t="n">
        <f aca="false">O34+P33</f>
        <v>1881609.6</v>
      </c>
      <c r="Q34" s="66" t="n">
        <f aca="false">P34+Q33</f>
        <v>1948724.8</v>
      </c>
      <c r="R34" s="66" t="n">
        <f aca="false">Q34+R33</f>
        <v>1992801.6</v>
      </c>
      <c r="S34" s="66" t="n">
        <f aca="false">R34+S33</f>
        <v>2012840</v>
      </c>
    </row>
    <row r="35" customFormat="false" ht="13.8" hidden="false" customHeight="false" outlineLevel="0" collapsed="false">
      <c r="C35" s="10"/>
    </row>
    <row r="36" customFormat="false" ht="13.8" hidden="false" customHeight="false" outlineLevel="0" collapsed="false">
      <c r="A36" s="42" t="s">
        <v>212</v>
      </c>
      <c r="B36" s="54"/>
      <c r="C36" s="43" t="n">
        <v>2026</v>
      </c>
      <c r="D36" s="44" t="n">
        <v>2027</v>
      </c>
      <c r="E36" s="44" t="n">
        <v>2028</v>
      </c>
      <c r="F36" s="44" t="n">
        <v>2029</v>
      </c>
      <c r="G36" s="44" t="n">
        <v>2030</v>
      </c>
      <c r="H36" s="44" t="n">
        <v>2031</v>
      </c>
      <c r="I36" s="44" t="n">
        <v>2032</v>
      </c>
      <c r="J36" s="44" t="n">
        <v>2033</v>
      </c>
      <c r="K36" s="44" t="n">
        <v>2034</v>
      </c>
      <c r="L36" s="44" t="n">
        <v>2035</v>
      </c>
      <c r="M36" s="44" t="n">
        <v>2036</v>
      </c>
      <c r="N36" s="44" t="n">
        <v>2037</v>
      </c>
      <c r="O36" s="44" t="n">
        <v>2038</v>
      </c>
      <c r="P36" s="44" t="n">
        <v>2039</v>
      </c>
      <c r="Q36" s="44" t="n">
        <v>2040</v>
      </c>
      <c r="R36" s="44" t="n">
        <v>2041</v>
      </c>
      <c r="S36" s="44" t="n">
        <v>2042</v>
      </c>
    </row>
    <row r="37" customFormat="false" ht="13.8" hidden="false" customHeight="false" outlineLevel="0" collapsed="false">
      <c r="A37" s="0" t="s">
        <v>222</v>
      </c>
      <c r="C37" s="53" t="n">
        <f aca="false">IF(C28=0,0,C28/C26)</f>
        <v>0</v>
      </c>
      <c r="D37" s="1" t="n">
        <f aca="false">IF(D28=0,0,D28/D26)</f>
        <v>0</v>
      </c>
      <c r="E37" s="1" t="n">
        <f aca="false">IF(E28=0,0,E28/E26)</f>
        <v>0.24</v>
      </c>
      <c r="F37" s="1" t="n">
        <f aca="false">IF(F28=0,0,F28/F26)</f>
        <v>0.24</v>
      </c>
      <c r="G37" s="1" t="n">
        <f aca="false">IF(G28=0,0,G28/G26)</f>
        <v>0.24</v>
      </c>
      <c r="H37" s="1" t="n">
        <f aca="false">IF(H28=0,0,H28/H26)</f>
        <v>0.24</v>
      </c>
      <c r="I37" s="1" t="n">
        <f aca="false">IF(I28=0,0,I28/I26)</f>
        <v>0.24</v>
      </c>
      <c r="J37" s="1" t="n">
        <f aca="false">IF(J28=0,0,J28/J26)</f>
        <v>0.24</v>
      </c>
      <c r="K37" s="1" t="n">
        <f aca="false">IF(K28=0,0,K28/K26)</f>
        <v>0.24</v>
      </c>
      <c r="L37" s="1" t="n">
        <f aca="false">IF(L28=0,0,L28/L26)</f>
        <v>0.24</v>
      </c>
      <c r="M37" s="1" t="n">
        <f aca="false">IF(M28=0,0,M28/M26)</f>
        <v>0.24</v>
      </c>
      <c r="N37" s="1" t="n">
        <f aca="false">IF(N28=0,0,N28/N26)</f>
        <v>0.24</v>
      </c>
      <c r="O37" s="1" t="n">
        <f aca="false">IF(O28=0,0,O28/O26)</f>
        <v>0.24</v>
      </c>
      <c r="P37" s="1" t="n">
        <f aca="false">IF(P28=0,0,P28/P26)</f>
        <v>0.24</v>
      </c>
      <c r="Q37" s="1" t="n">
        <f aca="false">IF(Q28=0,0,Q28/Q26)</f>
        <v>0.24</v>
      </c>
      <c r="R37" s="1" t="n">
        <f aca="false">IF(R28=0,0,R28/R26)</f>
        <v>0.24</v>
      </c>
      <c r="S37" s="1" t="n">
        <f aca="false">IF(S28=0,0,S28/S26)</f>
        <v>0.24</v>
      </c>
    </row>
    <row r="38" customFormat="false" ht="13.8" hidden="false" customHeight="false" outlineLevel="0" collapsed="false">
      <c r="A38" s="68" t="s">
        <v>223</v>
      </c>
      <c r="C38" s="53" t="n">
        <f aca="false">IF(C31&lt;=0,0,C31/C26)</f>
        <v>0</v>
      </c>
      <c r="D38" s="1" t="n">
        <f aca="false">IF(D31&lt;=0,0,D31/D26)</f>
        <v>0</v>
      </c>
      <c r="E38" s="1" t="n">
        <f aca="false">IF(E31&lt;=0,0,E31/E26)</f>
        <v>0.153541666666667</v>
      </c>
      <c r="F38" s="1" t="n">
        <f aca="false">IF(F31&lt;=0,0,F31/F26)</f>
        <v>0.170902777777778</v>
      </c>
      <c r="G38" s="1" t="n">
        <f aca="false">IF(G31&lt;=0,0,G31/G26)</f>
        <v>0.17828125</v>
      </c>
      <c r="H38" s="1" t="n">
        <f aca="false">IF(H31&lt;=0,0,H31/H26)</f>
        <v>0.181319444444444</v>
      </c>
      <c r="I38" s="1" t="n">
        <f aca="false">IF(I31&lt;=0,0,I31/I26)</f>
        <v>0.184791666666667</v>
      </c>
      <c r="J38" s="1" t="n">
        <f aca="false">IF(J31&lt;=0,0,J31/J26)</f>
        <v>0.18599358974359</v>
      </c>
      <c r="K38" s="1" t="n">
        <f aca="false">IF(K31&lt;=0,0,K31/K26)</f>
        <v>0.185265151515152</v>
      </c>
      <c r="L38" s="1" t="n">
        <f aca="false">IF(L31&lt;=0,0,L31/L26)</f>
        <v>0.184791666666667</v>
      </c>
      <c r="M38" s="1" t="n">
        <f aca="false">IF(M31&lt;=0,0,M31/M26)</f>
        <v>0.18537037037037</v>
      </c>
      <c r="N38" s="1" t="n">
        <f aca="false">IF(N31&lt;=0,0,N31/N26)</f>
        <v>0.181666666666667</v>
      </c>
      <c r="O38" s="1" t="n">
        <f aca="false">IF(O31&lt;=0,0,O31/O26)</f>
        <v>0.1821875</v>
      </c>
      <c r="P38" s="1" t="n">
        <f aca="false">IF(P31&lt;=0,0,P31/P26)</f>
        <v>0.179583333333333</v>
      </c>
      <c r="Q38" s="1" t="n">
        <f aca="false">IF(Q31&lt;=0,0,Q31/Q26)</f>
        <v>0.181319444444444</v>
      </c>
      <c r="R38" s="1" t="n">
        <f aca="false">IF(R31&lt;=0,0,R31/R26)</f>
        <v>0.179583333333333</v>
      </c>
      <c r="S38" s="1" t="n">
        <f aca="false">IF(S31&lt;=0,0,S31/S26)</f>
        <v>0.169166666666667</v>
      </c>
    </row>
    <row r="39" customFormat="false" ht="13.8" hidden="false" customHeight="false" outlineLevel="0" collapsed="false">
      <c r="C39" s="10"/>
    </row>
    <row r="40" customFormat="false" ht="13.8" hidden="false" customHeight="false" outlineLevel="0" collapsed="false">
      <c r="A40" s="0" t="s">
        <v>224</v>
      </c>
      <c r="C40" s="69" t="n">
        <f aca="false">C27+C29+C30+C32</f>
        <v>-145000</v>
      </c>
      <c r="D40" s="37" t="n">
        <f aca="false">D27+D29+D30+D32</f>
        <v>-80000</v>
      </c>
      <c r="E40" s="37" t="n">
        <f aca="false">E27+E29+E30+E32</f>
        <v>-699846.4</v>
      </c>
      <c r="F40" s="37" t="n">
        <f aca="false">F27+F29+F30+F32</f>
        <v>-1029769.6</v>
      </c>
      <c r="G40" s="37" t="n">
        <f aca="false">G27+G29+G30+G32</f>
        <v>-1361692.8</v>
      </c>
      <c r="H40" s="37" t="n">
        <f aca="false">H27+H29+H30+H32</f>
        <v>-1526654.4</v>
      </c>
      <c r="I40" s="37" t="n">
        <f aca="false">I27+I29+I30+I32</f>
        <v>-2027539.2</v>
      </c>
      <c r="J40" s="37" t="n">
        <f aca="false">J27+J29+J30+J32</f>
        <v>-2193500.8</v>
      </c>
      <c r="K40" s="37" t="n">
        <f aca="false">K27+K29+K30+K32</f>
        <v>-1857577.6</v>
      </c>
      <c r="L40" s="37" t="n">
        <f aca="false">L27+L29+L30+L32</f>
        <v>-1689616</v>
      </c>
      <c r="M40" s="37" t="n">
        <f aca="false">M27+M29+M30+M32</f>
        <v>-1519654.4</v>
      </c>
      <c r="N40" s="37" t="n">
        <f aca="false">N27+N29+N30+N32</f>
        <v>-847808</v>
      </c>
      <c r="O40" s="37" t="n">
        <f aca="false">O27+O29+O30+O32</f>
        <v>-677846.4</v>
      </c>
      <c r="P40" s="37" t="n">
        <f aca="false">P27+P29+P30+P32</f>
        <v>-509884.8</v>
      </c>
      <c r="Q40" s="37" t="n">
        <f aca="false">Q27+Q29+Q30+Q32</f>
        <v>-508884.8</v>
      </c>
      <c r="R40" s="37" t="n">
        <f aca="false">R27+R29+R30+R32</f>
        <v>-339923.2</v>
      </c>
      <c r="S40" s="37" t="n">
        <f aca="false">S27+S29+S30+S32</f>
        <v>-171961.6</v>
      </c>
    </row>
    <row r="41" customFormat="false" ht="13.8" hidden="false" customHeight="false" outlineLevel="0" collapsed="false">
      <c r="A41" s="0" t="s">
        <v>225</v>
      </c>
      <c r="C41" s="10" t="n">
        <f aca="false">C26</f>
        <v>0</v>
      </c>
      <c r="D41" s="0" t="n">
        <f aca="false">D26</f>
        <v>0</v>
      </c>
      <c r="E41" s="0" t="n">
        <f aca="false">E26</f>
        <v>768000</v>
      </c>
      <c r="F41" s="0" t="n">
        <f aca="false">F26</f>
        <v>1152000</v>
      </c>
      <c r="G41" s="0" t="n">
        <f aca="false">G26</f>
        <v>1536000</v>
      </c>
      <c r="H41" s="0" t="n">
        <f aca="false">H26</f>
        <v>1728000</v>
      </c>
      <c r="I41" s="0" t="n">
        <f aca="false">I26</f>
        <v>2304000</v>
      </c>
      <c r="J41" s="0" t="n">
        <f aca="false">J26</f>
        <v>2496000</v>
      </c>
      <c r="K41" s="17" t="n">
        <f aca="false">K26</f>
        <v>2112000</v>
      </c>
      <c r="L41" s="17" t="n">
        <f aca="false">L26</f>
        <v>1920000</v>
      </c>
      <c r="M41" s="0" t="n">
        <f aca="false">M26</f>
        <v>1728000</v>
      </c>
      <c r="N41" s="0" t="n">
        <f aca="false">N26</f>
        <v>960000</v>
      </c>
      <c r="O41" s="0" t="n">
        <f aca="false">O26</f>
        <v>768000</v>
      </c>
      <c r="P41" s="0" t="n">
        <f aca="false">P26</f>
        <v>576000</v>
      </c>
      <c r="Q41" s="0" t="n">
        <f aca="false">Q26</f>
        <v>576000</v>
      </c>
      <c r="R41" s="0" t="n">
        <f aca="false">R26</f>
        <v>384000</v>
      </c>
      <c r="S41" s="17" t="n">
        <f aca="false">S26</f>
        <v>192000</v>
      </c>
    </row>
    <row r="42" customFormat="false" ht="13.8" hidden="false" customHeight="false" outlineLevel="0" collapsed="false"/>
    <row r="43" customFormat="false" ht="13.8" hidden="false" customHeight="false" outlineLevel="0" collapsed="false"/>
    <row r="44" customFormat="false" ht="13.8" hidden="false" customHeight="false" outlineLevel="0" collapsed="false">
      <c r="A44" s="70" t="s">
        <v>226</v>
      </c>
    </row>
    <row r="45" customFormat="false" ht="13.8" hidden="false" customHeight="false" outlineLevel="0" collapsed="false">
      <c r="A45" s="16" t="s">
        <v>227</v>
      </c>
      <c r="B45" s="16"/>
    </row>
    <row r="46" customFormat="false" ht="13.8" hidden="false" customHeight="false" outlineLevel="0" collapsed="false">
      <c r="A46" s="0" t="s">
        <v>228</v>
      </c>
    </row>
    <row r="47" customFormat="false" ht="13.8" hidden="false" customHeight="false" outlineLevel="0" collapsed="false">
      <c r="A47" s="0" t="s">
        <v>229</v>
      </c>
    </row>
    <row r="48" customFormat="false" ht="13.8" hidden="false" customHeight="false" outlineLevel="0" collapsed="false">
      <c r="A48" s="0" t="s">
        <v>230</v>
      </c>
    </row>
    <row r="49" customFormat="false" ht="13.8" hidden="false" customHeight="false" outlineLevel="0" collapsed="false">
      <c r="A49" s="68" t="s">
        <v>231</v>
      </c>
    </row>
    <row r="50" customFormat="false" ht="13.8" hidden="false" customHeight="false" outlineLevel="0" collapsed="false">
      <c r="A50" s="0" t="s">
        <v>232</v>
      </c>
    </row>
    <row r="51" customFormat="false" ht="13.8" hidden="false" customHeight="false" outlineLevel="0" collapsed="false">
      <c r="A51" s="0" t="s">
        <v>233</v>
      </c>
    </row>
    <row r="52" customFormat="false" ht="13.8" hidden="false" customHeight="false" outlineLevel="0" collapsed="false"/>
    <row r="53" customFormat="false" ht="13.8" hidden="false" customHeight="false" outlineLevel="0" collapsed="false">
      <c r="A53" s="70" t="s">
        <v>234</v>
      </c>
      <c r="B53" s="16" t="s">
        <v>235</v>
      </c>
      <c r="C53" s="16"/>
    </row>
    <row r="54" customFormat="false" ht="13.8" hidden="false" customHeight="false" outlineLevel="0" collapsed="false">
      <c r="A54" s="0" t="s">
        <v>236</v>
      </c>
    </row>
    <row r="55" customFormat="false" ht="13.8" hidden="false" customHeight="false" outlineLevel="0" collapsed="false">
      <c r="A55" s="0" t="s">
        <v>237</v>
      </c>
    </row>
    <row r="56" customFormat="false" ht="13.8" hidden="false" customHeight="false" outlineLevel="0" collapsed="false">
      <c r="A56" s="0" t="s">
        <v>238</v>
      </c>
    </row>
    <row r="57" customFormat="false" ht="13.8" hidden="false" customHeight="false" outlineLevel="0" collapsed="false">
      <c r="A57" s="0" t="s">
        <v>239</v>
      </c>
      <c r="B57" s="68"/>
    </row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>
      <c r="A60" s="71" t="s">
        <v>240</v>
      </c>
    </row>
    <row r="61" customFormat="false" ht="45.75" hidden="false" customHeight="false" outlineLevel="0" collapsed="false">
      <c r="A61" s="72" t="s">
        <v>241</v>
      </c>
    </row>
    <row r="1048575" customFormat="false" ht="12.75" hidden="false" customHeight="false" outlineLevel="0" collapsed="false"/>
    <row r="1048576" customFormat="false" ht="12.75" hidden="false" customHeight="false" outlineLevel="0" collapsed="false"/>
  </sheetData>
  <mergeCells count="1">
    <mergeCell ref="A3:E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0" width="39.43"/>
    <col collapsed="false" customWidth="true" hidden="false" outlineLevel="0" max="3" min="2" style="0" width="11.43"/>
    <col collapsed="false" customWidth="true" hidden="false" outlineLevel="0" max="4" min="4" style="0" width="8.14"/>
    <col collapsed="false" customWidth="true" hidden="false" outlineLevel="0" max="7" min="5" style="0" width="7.57"/>
    <col collapsed="false" customWidth="true" hidden="false" outlineLevel="0" max="8" min="8" style="0" width="7.86"/>
    <col collapsed="false" customWidth="true" hidden="false" outlineLevel="0" max="9" min="9" style="0" width="8.43"/>
    <col collapsed="false" customWidth="true" hidden="false" outlineLevel="0" max="13" min="10" style="0" width="8"/>
  </cols>
  <sheetData>
    <row r="1" customFormat="false" ht="15" hidden="false" customHeight="false" outlineLevel="0" collapsed="false">
      <c r="A1" s="73" t="s">
        <v>242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</row>
    <row r="2" customFormat="false" ht="15" hidden="false" customHeight="false" outlineLevel="0" collapsed="false">
      <c r="A2" s="74" t="s">
        <v>243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</row>
    <row r="3" customFormat="false" ht="15" hidden="false" customHeight="false" outlineLevel="0" collapsed="false">
      <c r="A3" s="74" t="s">
        <v>244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</row>
    <row r="4" customFormat="false" ht="15" hidden="false" customHeight="false" outlineLevel="0" collapsed="false">
      <c r="A4" s="75" t="s">
        <v>245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</row>
    <row r="6" customFormat="false" ht="15" hidden="false" customHeight="false" outlineLevel="0" collapsed="false">
      <c r="A6" s="76" t="s">
        <v>246</v>
      </c>
      <c r="B6" s="77"/>
      <c r="C6" s="78" t="s">
        <v>247</v>
      </c>
      <c r="D6" s="79" t="s">
        <v>248</v>
      </c>
      <c r="E6" s="79" t="s">
        <v>249</v>
      </c>
      <c r="F6" s="79" t="s">
        <v>250</v>
      </c>
      <c r="G6" s="79" t="s">
        <v>251</v>
      </c>
      <c r="H6" s="79" t="s">
        <v>252</v>
      </c>
      <c r="I6" s="79" t="s">
        <v>253</v>
      </c>
      <c r="J6" s="79" t="s">
        <v>254</v>
      </c>
      <c r="K6" s="79" t="s">
        <v>255</v>
      </c>
      <c r="L6" s="79" t="s">
        <v>256</v>
      </c>
      <c r="M6" s="80" t="s">
        <v>257</v>
      </c>
    </row>
    <row r="7" customFormat="false" ht="15" hidden="false" customHeight="false" outlineLevel="0" collapsed="false">
      <c r="A7" s="81" t="s">
        <v>258</v>
      </c>
      <c r="B7" s="82"/>
      <c r="C7" s="83" t="n">
        <v>0.7</v>
      </c>
      <c r="D7" s="84" t="n">
        <v>0.78</v>
      </c>
      <c r="E7" s="84" t="n">
        <v>0.85</v>
      </c>
      <c r="F7" s="84" t="n">
        <v>0.9</v>
      </c>
      <c r="G7" s="84" t="n">
        <v>0.95</v>
      </c>
      <c r="H7" s="84" t="n">
        <v>1</v>
      </c>
      <c r="I7" s="84" t="n">
        <v>1</v>
      </c>
      <c r="J7" s="84" t="n">
        <v>1</v>
      </c>
      <c r="K7" s="84" t="n">
        <v>1</v>
      </c>
      <c r="L7" s="84" t="n">
        <v>1</v>
      </c>
      <c r="M7" s="85" t="n">
        <v>1</v>
      </c>
    </row>
    <row r="8" customFormat="false" ht="15" hidden="false" customHeight="false" outlineLevel="0" collapsed="false">
      <c r="A8" s="81" t="s">
        <v>259</v>
      </c>
      <c r="B8" s="82"/>
      <c r="C8" s="83" t="n">
        <v>0.05</v>
      </c>
      <c r="D8" s="84" t="n">
        <v>0.08</v>
      </c>
      <c r="E8" s="84" t="n">
        <v>0.1</v>
      </c>
      <c r="F8" s="84" t="n">
        <v>0.12</v>
      </c>
      <c r="G8" s="84" t="n">
        <v>0.12</v>
      </c>
      <c r="H8" s="84" t="n">
        <v>0.12</v>
      </c>
      <c r="I8" s="84" t="n">
        <v>0.12</v>
      </c>
      <c r="J8" s="84" t="n">
        <v>0.1</v>
      </c>
      <c r="K8" s="84" t="n">
        <v>0.08</v>
      </c>
      <c r="L8" s="84" t="n">
        <v>0.06</v>
      </c>
      <c r="M8" s="85" t="n">
        <v>0.05</v>
      </c>
      <c r="N8" s="1" t="n">
        <f aca="false">SUM(C8:M8)</f>
        <v>1</v>
      </c>
    </row>
    <row r="9" customFormat="false" ht="15" hidden="false" customHeight="false" outlineLevel="0" collapsed="false">
      <c r="A9" s="81" t="s">
        <v>260</v>
      </c>
      <c r="B9" s="82"/>
      <c r="C9" s="83" t="n">
        <v>0.451</v>
      </c>
      <c r="D9" s="84" t="n">
        <v>0.43</v>
      </c>
      <c r="E9" s="84" t="n">
        <v>0.41</v>
      </c>
      <c r="F9" s="84" t="n">
        <v>0.39</v>
      </c>
      <c r="G9" s="84" t="n">
        <v>0.37</v>
      </c>
      <c r="H9" s="84" t="n">
        <v>0.35</v>
      </c>
      <c r="I9" s="84" t="n">
        <v>0.33</v>
      </c>
      <c r="J9" s="84" t="n">
        <v>0.33</v>
      </c>
      <c r="K9" s="84" t="n">
        <v>0.33</v>
      </c>
      <c r="L9" s="84" t="n">
        <v>0.33</v>
      </c>
      <c r="M9" s="85" t="n">
        <v>0.33</v>
      </c>
    </row>
    <row r="10" customFormat="false" ht="15" hidden="false" customHeight="false" outlineLevel="0" collapsed="false">
      <c r="A10" s="76" t="s">
        <v>261</v>
      </c>
      <c r="B10" s="77"/>
      <c r="C10" s="86" t="n">
        <f aca="false">C8+C9</f>
        <v>0.501</v>
      </c>
      <c r="D10" s="87" t="n">
        <f aca="false">D8+D9</f>
        <v>0.51</v>
      </c>
      <c r="E10" s="87" t="n">
        <f aca="false">E8+E9</f>
        <v>0.51</v>
      </c>
      <c r="F10" s="87" t="n">
        <f aca="false">F8+F9</f>
        <v>0.51</v>
      </c>
      <c r="G10" s="87" t="n">
        <f aca="false">G8+G9</f>
        <v>0.49</v>
      </c>
      <c r="H10" s="87" t="n">
        <f aca="false">H8+H9</f>
        <v>0.47</v>
      </c>
      <c r="I10" s="87" t="n">
        <f aca="false">I8+I9</f>
        <v>0.45</v>
      </c>
      <c r="J10" s="87" t="n">
        <f aca="false">J8+J9</f>
        <v>0.43</v>
      </c>
      <c r="K10" s="87" t="n">
        <f aca="false">K8+K9</f>
        <v>0.41</v>
      </c>
      <c r="L10" s="87" t="n">
        <f aca="false">L8+L9</f>
        <v>0.39</v>
      </c>
      <c r="M10" s="88" t="n">
        <f aca="false">M8+M9</f>
        <v>0.38</v>
      </c>
    </row>
    <row r="11" customFormat="false" ht="15" hidden="false" customHeight="false" outlineLevel="0" collapsed="false">
      <c r="A11" s="82"/>
      <c r="B11" s="82"/>
      <c r="C11" s="89"/>
      <c r="D11" s="82"/>
      <c r="E11" s="82"/>
      <c r="F11" s="82"/>
      <c r="G11" s="82"/>
      <c r="H11" s="82"/>
      <c r="I11" s="82"/>
      <c r="J11" s="82"/>
      <c r="K11" s="82"/>
      <c r="L11" s="82"/>
      <c r="M11" s="90"/>
    </row>
    <row r="12" customFormat="false" ht="15" hidden="false" customHeight="false" outlineLevel="0" collapsed="false">
      <c r="A12" s="91" t="s">
        <v>262</v>
      </c>
      <c r="B12" s="91"/>
      <c r="C12" s="91"/>
      <c r="D12" s="91"/>
      <c r="E12" s="91"/>
      <c r="F12" s="91"/>
      <c r="G12" s="92"/>
      <c r="H12" s="82"/>
      <c r="I12" s="82"/>
      <c r="J12" s="82"/>
      <c r="K12" s="82"/>
      <c r="L12" s="82"/>
      <c r="M12" s="90"/>
    </row>
    <row r="13" customFormat="false" ht="15" hidden="false" customHeight="false" outlineLevel="0" collapsed="false">
      <c r="C13" s="93" t="s">
        <v>263</v>
      </c>
      <c r="D13" s="94" t="s">
        <v>264</v>
      </c>
      <c r="E13" s="95"/>
      <c r="F13" s="95"/>
      <c r="G13" s="82"/>
      <c r="H13" s="82"/>
      <c r="I13" s="82"/>
      <c r="J13" s="82"/>
      <c r="K13" s="82"/>
      <c r="L13" s="82"/>
      <c r="M13" s="90"/>
    </row>
    <row r="14" customFormat="false" ht="15" hidden="false" customHeight="false" outlineLevel="0" collapsed="false">
      <c r="A14" s="96" t="s">
        <v>265</v>
      </c>
      <c r="B14" s="97" t="n">
        <v>150000</v>
      </c>
      <c r="C14" s="98" t="n">
        <v>6</v>
      </c>
      <c r="D14" s="99" t="n">
        <v>25000</v>
      </c>
      <c r="E14" s="100" t="s">
        <v>266</v>
      </c>
      <c r="F14" s="100"/>
      <c r="G14" s="100"/>
      <c r="H14" s="100"/>
      <c r="I14" s="100"/>
      <c r="J14" s="100"/>
      <c r="K14" s="100"/>
      <c r="L14" s="100"/>
      <c r="M14" s="101"/>
      <c r="N14" s="100"/>
    </row>
    <row r="15" customFormat="false" ht="15" hidden="false" customHeight="false" outlineLevel="0" collapsed="false">
      <c r="A15" s="102" t="s">
        <v>210</v>
      </c>
      <c r="B15" s="103" t="n">
        <v>0.27</v>
      </c>
      <c r="C15" s="89"/>
      <c r="D15" s="82"/>
      <c r="E15" s="82"/>
      <c r="F15" s="82"/>
      <c r="G15" s="82"/>
      <c r="H15" s="82"/>
      <c r="I15" s="82"/>
      <c r="J15" s="82"/>
      <c r="K15" s="82"/>
      <c r="L15" s="82"/>
      <c r="M15" s="90"/>
    </row>
    <row r="16" customFormat="false" ht="15" hidden="false" customHeight="false" outlineLevel="0" collapsed="false">
      <c r="A16" s="82"/>
      <c r="B16" s="82"/>
      <c r="C16" s="89"/>
      <c r="D16" s="82"/>
      <c r="E16" s="82"/>
      <c r="F16" s="82"/>
      <c r="G16" s="82"/>
      <c r="H16" s="82"/>
      <c r="I16" s="82"/>
      <c r="J16" s="82"/>
      <c r="K16" s="82"/>
      <c r="L16" s="82"/>
      <c r="M16" s="90"/>
    </row>
    <row r="17" customFormat="false" ht="15" hidden="false" customHeight="false" outlineLevel="0" collapsed="false">
      <c r="A17" s="76" t="s">
        <v>267</v>
      </c>
      <c r="B17" s="77"/>
      <c r="C17" s="78" t="s">
        <v>247</v>
      </c>
      <c r="D17" s="79" t="s">
        <v>248</v>
      </c>
      <c r="E17" s="79" t="s">
        <v>249</v>
      </c>
      <c r="F17" s="79" t="s">
        <v>250</v>
      </c>
      <c r="G17" s="79" t="s">
        <v>251</v>
      </c>
      <c r="H17" s="79" t="s">
        <v>252</v>
      </c>
      <c r="I17" s="79" t="s">
        <v>253</v>
      </c>
      <c r="J17" s="79" t="s">
        <v>254</v>
      </c>
      <c r="K17" s="79" t="s">
        <v>255</v>
      </c>
      <c r="L17" s="79" t="s">
        <v>256</v>
      </c>
      <c r="M17" s="80" t="s">
        <v>257</v>
      </c>
    </row>
    <row r="18" customFormat="false" ht="15" hidden="false" customHeight="false" outlineLevel="0" collapsed="false">
      <c r="A18" s="81" t="s">
        <v>268</v>
      </c>
      <c r="B18" s="82"/>
      <c r="C18" s="104" t="n">
        <f aca="false">$B$14*C7</f>
        <v>105000</v>
      </c>
      <c r="D18" s="105" t="n">
        <f aca="false">$B$14*D7</f>
        <v>117000</v>
      </c>
      <c r="E18" s="105" t="n">
        <f aca="false">$B$14*E7</f>
        <v>127500</v>
      </c>
      <c r="F18" s="105" t="n">
        <f aca="false">$B$14*F7</f>
        <v>135000</v>
      </c>
      <c r="G18" s="105" t="n">
        <f aca="false">$B$14*G7</f>
        <v>142500</v>
      </c>
      <c r="H18" s="105" t="n">
        <f aca="false">$B$14*H7</f>
        <v>150000</v>
      </c>
      <c r="I18" s="105" t="n">
        <f aca="false">$B$14*I7</f>
        <v>150000</v>
      </c>
      <c r="J18" s="105" t="n">
        <f aca="false">$B$14*J7</f>
        <v>150000</v>
      </c>
      <c r="K18" s="105" t="n">
        <f aca="false">$B$14*K7</f>
        <v>150000</v>
      </c>
      <c r="L18" s="105" t="n">
        <f aca="false">$B$14*L7</f>
        <v>150000</v>
      </c>
      <c r="M18" s="106" t="n">
        <f aca="false">$B$14*M7</f>
        <v>150000</v>
      </c>
    </row>
    <row r="19" customFormat="false" ht="15" hidden="false" customHeight="false" outlineLevel="0" collapsed="false">
      <c r="A19" s="81" t="s">
        <v>269</v>
      </c>
      <c r="B19" s="82"/>
      <c r="C19" s="104" t="n">
        <f aca="false">-C18*C9</f>
        <v>-47355</v>
      </c>
      <c r="D19" s="105" t="n">
        <f aca="false">-D18*D9</f>
        <v>-50310</v>
      </c>
      <c r="E19" s="105" t="n">
        <f aca="false">-E18*E9</f>
        <v>-52275</v>
      </c>
      <c r="F19" s="105" t="n">
        <f aca="false">-F18*F9</f>
        <v>-52650</v>
      </c>
      <c r="G19" s="105" t="n">
        <f aca="false">-G18*G9</f>
        <v>-52725</v>
      </c>
      <c r="H19" s="105" t="n">
        <f aca="false">-H18*H9</f>
        <v>-52500</v>
      </c>
      <c r="I19" s="105" t="n">
        <f aca="false">-I18*I9</f>
        <v>-49500</v>
      </c>
      <c r="J19" s="105" t="n">
        <f aca="false">-J18*J9</f>
        <v>-49500</v>
      </c>
      <c r="K19" s="105" t="n">
        <f aca="false">-K18*K9</f>
        <v>-49500</v>
      </c>
      <c r="L19" s="105" t="n">
        <f aca="false">-L18*L9</f>
        <v>-49500</v>
      </c>
      <c r="M19" s="106" t="n">
        <f aca="false">-M18*M9</f>
        <v>-49500</v>
      </c>
    </row>
    <row r="20" customFormat="false" ht="15" hidden="false" customHeight="false" outlineLevel="0" collapsed="false">
      <c r="A20" s="81" t="s">
        <v>215</v>
      </c>
      <c r="B20" s="82"/>
      <c r="C20" s="104" t="n">
        <f aca="false">C18+C19</f>
        <v>57645</v>
      </c>
      <c r="D20" s="105" t="n">
        <f aca="false">D18+D19</f>
        <v>66690</v>
      </c>
      <c r="E20" s="105" t="n">
        <f aca="false">E18+E19</f>
        <v>75225</v>
      </c>
      <c r="F20" s="105" t="n">
        <f aca="false">F18+F19</f>
        <v>82350</v>
      </c>
      <c r="G20" s="105" t="n">
        <f aca="false">G18+G19</f>
        <v>89775</v>
      </c>
      <c r="H20" s="105" t="n">
        <f aca="false">H18+H19</f>
        <v>97500</v>
      </c>
      <c r="I20" s="105" t="n">
        <f aca="false">I18+I19</f>
        <v>100500</v>
      </c>
      <c r="J20" s="105" t="n">
        <f aca="false">J18+J19</f>
        <v>100500</v>
      </c>
      <c r="K20" s="105" t="n">
        <f aca="false">K18+K19</f>
        <v>100500</v>
      </c>
      <c r="L20" s="105" t="n">
        <f aca="false">L18+L19</f>
        <v>100500</v>
      </c>
      <c r="M20" s="106" t="n">
        <f aca="false">M18+M19</f>
        <v>100500</v>
      </c>
    </row>
    <row r="21" customFormat="false" ht="15" hidden="false" customHeight="false" outlineLevel="0" collapsed="false">
      <c r="A21" s="81" t="s">
        <v>216</v>
      </c>
      <c r="B21" s="82"/>
      <c r="C21" s="104" t="n">
        <v>-5250</v>
      </c>
      <c r="D21" s="105" t="n">
        <v>-9360</v>
      </c>
      <c r="E21" s="105" t="n">
        <v>-12750</v>
      </c>
      <c r="F21" s="105" t="n">
        <v>-16200</v>
      </c>
      <c r="G21" s="105" t="n">
        <v>-17100</v>
      </c>
      <c r="H21" s="105" t="n">
        <v>-18000</v>
      </c>
      <c r="I21" s="105" t="n">
        <v>-18000</v>
      </c>
      <c r="J21" s="105" t="n">
        <v>-15000</v>
      </c>
      <c r="K21" s="105" t="n">
        <v>-12000</v>
      </c>
      <c r="L21" s="105" t="n">
        <v>-9000</v>
      </c>
      <c r="M21" s="106" t="n">
        <v>-7500</v>
      </c>
    </row>
    <row r="22" customFormat="false" ht="15" hidden="false" customHeight="false" outlineLevel="0" collapsed="false">
      <c r="A22" s="81" t="s">
        <v>218</v>
      </c>
      <c r="B22" s="82"/>
      <c r="C22" s="104" t="n">
        <f aca="false">C20+C21</f>
        <v>52395</v>
      </c>
      <c r="D22" s="105" t="n">
        <f aca="false">D20+D21</f>
        <v>57330</v>
      </c>
      <c r="E22" s="105" t="n">
        <f aca="false">E20+E21</f>
        <v>62475</v>
      </c>
      <c r="F22" s="105" t="n">
        <f aca="false">F20+F21</f>
        <v>66150</v>
      </c>
      <c r="G22" s="105" t="n">
        <f aca="false">G20+G21</f>
        <v>72675</v>
      </c>
      <c r="H22" s="105" t="n">
        <f aca="false">H20+H21</f>
        <v>79500</v>
      </c>
      <c r="I22" s="105" t="n">
        <f aca="false">I20+I21</f>
        <v>82500</v>
      </c>
      <c r="J22" s="105" t="n">
        <f aca="false">J20+J21</f>
        <v>85500</v>
      </c>
      <c r="K22" s="105" t="n">
        <f aca="false">K20+K21</f>
        <v>88500</v>
      </c>
      <c r="L22" s="105" t="n">
        <f aca="false">L20+L21</f>
        <v>91500</v>
      </c>
      <c r="M22" s="106" t="n">
        <f aca="false">M20+M21</f>
        <v>93000</v>
      </c>
    </row>
    <row r="23" customFormat="false" ht="15" hidden="false" customHeight="false" outlineLevel="0" collapsed="false">
      <c r="A23" s="81" t="s">
        <v>219</v>
      </c>
      <c r="B23" s="82"/>
      <c r="C23" s="104" t="n">
        <f aca="false">IF(C20&gt;0,-C20*$B$15,0)</f>
        <v>-15564.15</v>
      </c>
      <c r="D23" s="105" t="n">
        <f aca="false">IF(D20&gt;0,-D20*$B$15,0)</f>
        <v>-18006.3</v>
      </c>
      <c r="E23" s="105" t="n">
        <f aca="false">IF(E20&gt;0,-E20*$B$15,0)</f>
        <v>-20310.75</v>
      </c>
      <c r="F23" s="105" t="n">
        <f aca="false">IF(F20&gt;0,-F20*$B$15,0)</f>
        <v>-22234.5</v>
      </c>
      <c r="G23" s="105" t="n">
        <f aca="false">IF(G20&gt;0,-G20*$B$15,0)</f>
        <v>-24239.25</v>
      </c>
      <c r="H23" s="105" t="n">
        <f aca="false">IF(H20&gt;0,-H20*$B$15,0)</f>
        <v>-26325</v>
      </c>
      <c r="I23" s="105" t="n">
        <f aca="false">IF(I20&gt;0,-I20*$B$15,0)</f>
        <v>-27135</v>
      </c>
      <c r="J23" s="105" t="n">
        <f aca="false">IF(J20&gt;0,-J20*$B$15,0)</f>
        <v>-27135</v>
      </c>
      <c r="K23" s="105" t="n">
        <f aca="false">IF(K20&gt;0,-K20*$B$15,0)</f>
        <v>-27135</v>
      </c>
      <c r="L23" s="105" t="n">
        <f aca="false">IF(L20&gt;0,-L20*$B$15,0)</f>
        <v>-27135</v>
      </c>
      <c r="M23" s="106" t="n">
        <f aca="false">IF(M20&gt;0,-M20*$B$15,0)</f>
        <v>-27135</v>
      </c>
    </row>
    <row r="24" customFormat="false" ht="15" hidden="false" customHeight="false" outlineLevel="0" collapsed="false">
      <c r="A24" s="81" t="s">
        <v>270</v>
      </c>
      <c r="B24" s="82"/>
      <c r="C24" s="104" t="n">
        <f aca="false">C22+C23</f>
        <v>36830.85</v>
      </c>
      <c r="D24" s="105" t="n">
        <f aca="false">D22+D23</f>
        <v>39323.7</v>
      </c>
      <c r="E24" s="105" t="n">
        <f aca="false">E22+E23</f>
        <v>42164.25</v>
      </c>
      <c r="F24" s="105" t="n">
        <f aca="false">F22+F23</f>
        <v>43915.5</v>
      </c>
      <c r="G24" s="105" t="n">
        <f aca="false">G22+G23</f>
        <v>48435.75</v>
      </c>
      <c r="H24" s="105" t="n">
        <f aca="false">H22+H23</f>
        <v>53175</v>
      </c>
      <c r="I24" s="105" t="n">
        <f aca="false">I22+I23</f>
        <v>55365</v>
      </c>
      <c r="J24" s="105" t="n">
        <f aca="false">J22+J23</f>
        <v>58365</v>
      </c>
      <c r="K24" s="105" t="n">
        <f aca="false">K22+K23</f>
        <v>61365</v>
      </c>
      <c r="L24" s="105" t="n">
        <f aca="false">L22+L23</f>
        <v>64365</v>
      </c>
      <c r="M24" s="106" t="n">
        <f aca="false">M22+M23</f>
        <v>65865</v>
      </c>
    </row>
    <row r="25" customFormat="false" ht="15" hidden="false" customHeight="false" outlineLevel="0" collapsed="false">
      <c r="A25" s="81" t="s">
        <v>271</v>
      </c>
      <c r="B25" s="82"/>
      <c r="C25" s="104" t="n">
        <f aca="false">C24</f>
        <v>36830.85</v>
      </c>
      <c r="D25" s="105" t="n">
        <f aca="false">C25+D24</f>
        <v>76154.55</v>
      </c>
      <c r="E25" s="105" t="n">
        <f aca="false">D25+E24</f>
        <v>118318.8</v>
      </c>
      <c r="F25" s="105" t="n">
        <f aca="false">E25+F24</f>
        <v>162234.3</v>
      </c>
      <c r="G25" s="105" t="n">
        <f aca="false">F25+G24</f>
        <v>210670.05</v>
      </c>
      <c r="H25" s="105" t="n">
        <f aca="false">G25+H24</f>
        <v>263845.05</v>
      </c>
      <c r="I25" s="105" t="n">
        <f aca="false">H25+I24</f>
        <v>319210.05</v>
      </c>
      <c r="J25" s="105" t="n">
        <f aca="false">I25+J24</f>
        <v>377575.05</v>
      </c>
      <c r="K25" s="105" t="n">
        <f aca="false">J25+K24</f>
        <v>438940.05</v>
      </c>
      <c r="L25" s="105" t="n">
        <f aca="false">K25+L24</f>
        <v>503305.05</v>
      </c>
      <c r="M25" s="106" t="n">
        <f aca="false">L25+M24</f>
        <v>569170.05</v>
      </c>
    </row>
    <row r="26" customFormat="false" ht="15" hidden="false" customHeight="false" outlineLevel="0" collapsed="false">
      <c r="A26" s="82"/>
      <c r="B26" s="82"/>
      <c r="C26" s="89"/>
      <c r="D26" s="82"/>
      <c r="E26" s="82"/>
      <c r="F26" s="82"/>
      <c r="G26" s="82"/>
      <c r="H26" s="82"/>
      <c r="I26" s="82"/>
      <c r="J26" s="82"/>
      <c r="K26" s="82"/>
      <c r="L26" s="82"/>
      <c r="M26" s="90"/>
    </row>
    <row r="27" customFormat="false" ht="15" hidden="false" customHeight="false" outlineLevel="0" collapsed="false">
      <c r="A27" s="76" t="s">
        <v>272</v>
      </c>
      <c r="B27" s="77"/>
      <c r="C27" s="78" t="s">
        <v>247</v>
      </c>
      <c r="D27" s="79" t="s">
        <v>248</v>
      </c>
      <c r="E27" s="79" t="s">
        <v>249</v>
      </c>
      <c r="F27" s="79" t="s">
        <v>250</v>
      </c>
      <c r="G27" s="79" t="s">
        <v>251</v>
      </c>
      <c r="H27" s="79" t="s">
        <v>252</v>
      </c>
      <c r="I27" s="79" t="s">
        <v>253</v>
      </c>
      <c r="J27" s="79" t="s">
        <v>254</v>
      </c>
      <c r="K27" s="79" t="s">
        <v>255</v>
      </c>
      <c r="L27" s="79" t="s">
        <v>256</v>
      </c>
      <c r="M27" s="80" t="s">
        <v>257</v>
      </c>
    </row>
    <row r="28" customFormat="false" ht="15" hidden="false" customHeight="false" outlineLevel="0" collapsed="false">
      <c r="A28" s="81" t="s">
        <v>222</v>
      </c>
      <c r="B28" s="82"/>
      <c r="C28" s="107" t="n">
        <f aca="false">IF(C18=0,0,C20/C18)</f>
        <v>0.549</v>
      </c>
      <c r="D28" s="108" t="n">
        <f aca="false">IF(D18=0,0,D20/D18)</f>
        <v>0.57</v>
      </c>
      <c r="E28" s="108" t="n">
        <f aca="false">IF(E18=0,0,E20/E18)</f>
        <v>0.59</v>
      </c>
      <c r="F28" s="108" t="n">
        <f aca="false">IF(F18=0,0,F20/F18)</f>
        <v>0.61</v>
      </c>
      <c r="G28" s="108" t="n">
        <f aca="false">IF(G18=0,0,G20/G18)</f>
        <v>0.63</v>
      </c>
      <c r="H28" s="108" t="n">
        <f aca="false">IF(H18=0,0,H20/H18)</f>
        <v>0.65</v>
      </c>
      <c r="I28" s="108" t="n">
        <f aca="false">IF(I18=0,0,I20/I18)</f>
        <v>0.67</v>
      </c>
      <c r="J28" s="108" t="n">
        <f aca="false">IF(J18=0,0,J20/J18)</f>
        <v>0.67</v>
      </c>
      <c r="K28" s="108" t="n">
        <f aca="false">IF(K18=0,0,K20/K18)</f>
        <v>0.67</v>
      </c>
      <c r="L28" s="108" t="n">
        <f aca="false">IF(L18=0,0,L20/L18)</f>
        <v>0.67</v>
      </c>
      <c r="M28" s="109" t="n">
        <f aca="false">IF(M18=0,0,M20/M18)</f>
        <v>0.67</v>
      </c>
    </row>
    <row r="29" customFormat="false" ht="15" hidden="false" customHeight="false" outlineLevel="0" collapsed="false">
      <c r="A29" s="81" t="s">
        <v>223</v>
      </c>
      <c r="B29" s="82"/>
      <c r="C29" s="107" t="n">
        <f aca="false">IF(C18=0,0,C22/C18)</f>
        <v>0.499</v>
      </c>
      <c r="D29" s="108" t="n">
        <f aca="false">IF(D18=0,0,D22/D18)</f>
        <v>0.49</v>
      </c>
      <c r="E29" s="108" t="n">
        <f aca="false">IF(E18=0,0,E22/E18)</f>
        <v>0.49</v>
      </c>
      <c r="F29" s="108" t="n">
        <f aca="false">IF(F18=0,0,F22/F18)</f>
        <v>0.49</v>
      </c>
      <c r="G29" s="108" t="n">
        <f aca="false">IF(G18=0,0,G22/G18)</f>
        <v>0.51</v>
      </c>
      <c r="H29" s="108" t="n">
        <f aca="false">IF(H18=0,0,H22/H18)</f>
        <v>0.53</v>
      </c>
      <c r="I29" s="108" t="n">
        <f aca="false">IF(I18=0,0,I22/I18)</f>
        <v>0.55</v>
      </c>
      <c r="J29" s="108" t="n">
        <f aca="false">IF(J18=0,0,J22/J18)</f>
        <v>0.57</v>
      </c>
      <c r="K29" s="108" t="n">
        <f aca="false">IF(K18=0,0,K22/K18)</f>
        <v>0.59</v>
      </c>
      <c r="L29" s="108" t="n">
        <f aca="false">IF(L18=0,0,L22/L18)</f>
        <v>0.61</v>
      </c>
      <c r="M29" s="109" t="n">
        <f aca="false">IF(M18=0,0,M22/M18)</f>
        <v>0.62</v>
      </c>
    </row>
    <row r="30" customFormat="false" ht="15" hidden="false" customHeight="false" outlineLevel="0" collapsed="false">
      <c r="A30" s="81" t="s">
        <v>273</v>
      </c>
      <c r="B30" s="82"/>
      <c r="C30" s="107" t="n">
        <f aca="false">IF(C18=0,0,C24/C18)</f>
        <v>0.35077</v>
      </c>
      <c r="D30" s="108" t="n">
        <f aca="false">IF(D18=0,0,D24/D18)</f>
        <v>0.3361</v>
      </c>
      <c r="E30" s="108" t="n">
        <f aca="false">IF(E18=0,0,E24/E18)</f>
        <v>0.3307</v>
      </c>
      <c r="F30" s="108" t="n">
        <f aca="false">IF(F18=0,0,F24/F18)</f>
        <v>0.3253</v>
      </c>
      <c r="G30" s="108" t="n">
        <f aca="false">IF(G18=0,0,G24/G18)</f>
        <v>0.3399</v>
      </c>
      <c r="H30" s="108" t="n">
        <f aca="false">IF(H18=0,0,H24/H18)</f>
        <v>0.3545</v>
      </c>
      <c r="I30" s="108" t="n">
        <f aca="false">IF(I18=0,0,I24/I18)</f>
        <v>0.3691</v>
      </c>
      <c r="J30" s="108" t="n">
        <f aca="false">IF(J18=0,0,J24/J18)</f>
        <v>0.3891</v>
      </c>
      <c r="K30" s="108" t="n">
        <f aca="false">IF(K18=0,0,K24/K18)</f>
        <v>0.4091</v>
      </c>
      <c r="L30" s="108" t="n">
        <f aca="false">IF(L18=0,0,L24/L18)</f>
        <v>0.4291</v>
      </c>
      <c r="M30" s="109" t="n">
        <f aca="false">IF(M18=0,0,M24/M18)</f>
        <v>0.4391</v>
      </c>
    </row>
    <row r="31" customFormat="false" ht="15" hidden="false" customHeight="false" outlineLevel="0" collapsed="false">
      <c r="A31" s="82"/>
      <c r="B31" s="82"/>
      <c r="C31" s="89"/>
      <c r="D31" s="82"/>
      <c r="E31" s="82"/>
      <c r="F31" s="82"/>
      <c r="G31" s="82"/>
      <c r="H31" s="82"/>
      <c r="I31" s="82"/>
      <c r="J31" s="82"/>
      <c r="K31" s="82"/>
      <c r="L31" s="82"/>
      <c r="M31" s="90"/>
    </row>
    <row r="32" customFormat="false" ht="15" hidden="false" customHeight="false" outlineLevel="0" collapsed="false">
      <c r="A32" s="81" t="s">
        <v>224</v>
      </c>
      <c r="B32" s="82"/>
      <c r="C32" s="104" t="n">
        <f aca="false">C19+C21+C23</f>
        <v>-68169.15</v>
      </c>
      <c r="D32" s="105" t="n">
        <f aca="false">D19+D21+D23</f>
        <v>-77676.3</v>
      </c>
      <c r="E32" s="105" t="n">
        <f aca="false">E19+E21+E23</f>
        <v>-85335.75</v>
      </c>
      <c r="F32" s="105" t="n">
        <f aca="false">F19+F21+F23</f>
        <v>-91084.5</v>
      </c>
      <c r="G32" s="105" t="n">
        <f aca="false">G19+G21+G23</f>
        <v>-94064.25</v>
      </c>
      <c r="H32" s="105" t="n">
        <f aca="false">H19+H21+H23</f>
        <v>-96825</v>
      </c>
      <c r="I32" s="105" t="n">
        <f aca="false">I19+I21+I23</f>
        <v>-94635</v>
      </c>
      <c r="J32" s="105" t="n">
        <f aca="false">J19+J21+J23</f>
        <v>-91635</v>
      </c>
      <c r="K32" s="105" t="n">
        <f aca="false">K19+K21+K23</f>
        <v>-88635</v>
      </c>
      <c r="L32" s="105" t="n">
        <f aca="false">L19+L21+L23</f>
        <v>-85635</v>
      </c>
      <c r="M32" s="106" t="n">
        <f aca="false">M19+M21+M23</f>
        <v>-84135</v>
      </c>
    </row>
    <row r="33" customFormat="false" ht="15" hidden="false" customHeight="false" outlineLevel="0" collapsed="false">
      <c r="A33" s="81" t="s">
        <v>225</v>
      </c>
      <c r="B33" s="82"/>
      <c r="C33" s="104" t="n">
        <f aca="false">C18</f>
        <v>105000</v>
      </c>
      <c r="D33" s="105" t="n">
        <f aca="false">D18</f>
        <v>117000</v>
      </c>
      <c r="E33" s="105" t="n">
        <f aca="false">E18</f>
        <v>127500</v>
      </c>
      <c r="F33" s="105" t="n">
        <f aca="false">F18</f>
        <v>135000</v>
      </c>
      <c r="G33" s="105" t="n">
        <f aca="false">G18</f>
        <v>142500</v>
      </c>
      <c r="H33" s="105" t="n">
        <f aca="false">H18</f>
        <v>150000</v>
      </c>
      <c r="I33" s="105" t="n">
        <f aca="false">I18</f>
        <v>150000</v>
      </c>
      <c r="J33" s="105" t="n">
        <f aca="false">J18</f>
        <v>150000</v>
      </c>
      <c r="K33" s="105" t="n">
        <f aca="false">K18</f>
        <v>150000</v>
      </c>
      <c r="L33" s="105" t="n">
        <f aca="false">L18</f>
        <v>150000</v>
      </c>
      <c r="M33" s="106" t="n">
        <f aca="false">M18</f>
        <v>150000</v>
      </c>
    </row>
    <row r="34" customFormat="false" ht="15" hidden="false" customHeight="false" outlineLevel="0" collapsed="false">
      <c r="A34" s="82"/>
      <c r="B34" s="82"/>
      <c r="C34" s="89"/>
      <c r="D34" s="82"/>
      <c r="E34" s="82"/>
      <c r="F34" s="82"/>
      <c r="G34" s="82"/>
      <c r="H34" s="82"/>
      <c r="I34" s="82"/>
      <c r="J34" s="82"/>
      <c r="K34" s="82"/>
      <c r="L34" s="82"/>
      <c r="M34" s="90"/>
    </row>
    <row r="35" customFormat="false" ht="15" hidden="false" customHeight="false" outlineLevel="0" collapsed="false">
      <c r="A35" s="81" t="s">
        <v>274</v>
      </c>
      <c r="B35" s="82"/>
      <c r="C35" s="110" t="s">
        <v>275</v>
      </c>
      <c r="D35" s="111" t="s">
        <v>275</v>
      </c>
      <c r="E35" s="111" t="s">
        <v>276</v>
      </c>
      <c r="F35" s="111" t="s">
        <v>276</v>
      </c>
      <c r="G35" s="111" t="s">
        <v>277</v>
      </c>
      <c r="H35" s="111" t="s">
        <v>277</v>
      </c>
      <c r="I35" s="111" t="s">
        <v>278</v>
      </c>
      <c r="J35" s="111" t="s">
        <v>279</v>
      </c>
      <c r="K35" s="111" t="s">
        <v>279</v>
      </c>
      <c r="L35" s="111" t="s">
        <v>279</v>
      </c>
      <c r="M35" s="112" t="s">
        <v>279</v>
      </c>
    </row>
    <row r="36" customFormat="false" ht="15" hidden="false" customHeight="false" outlineLevel="0" collapsed="false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</row>
    <row r="37" customFormat="false" ht="15" hidden="false" customHeight="false" outlineLevel="0" collapsed="false">
      <c r="A37" s="74" t="s">
        <v>280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customFormat="false" ht="15" hidden="false" customHeight="false" outlineLevel="0" collapsed="false">
      <c r="A38" s="74" t="s">
        <v>281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</row>
    <row r="39" customFormat="false" ht="15" hidden="false" customHeight="false" outlineLevel="0" collapsed="false">
      <c r="A39" s="74" t="s">
        <v>282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</row>
    <row r="40" customFormat="false" ht="15" hidden="false" customHeight="false" outlineLevel="0" collapsed="false">
      <c r="A40" s="74" t="s">
        <v>283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</row>
    <row r="41" customFormat="false" ht="15" hidden="false" customHeight="false" outlineLevel="0" collapsed="false">
      <c r="A41" s="74" t="s">
        <v>284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</row>
    <row r="42" customFormat="false" ht="15" hidden="false" customHeight="false" outlineLevel="0" collapsed="false">
      <c r="A42" s="74" t="s">
        <v>285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</row>
    <row r="43" customFormat="false" ht="15" hidden="false" customHeight="false" outlineLevel="0" collapsed="false">
      <c r="A43" s="74" t="s">
        <v>286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</row>
    <row r="44" customFormat="false" ht="15" hidden="false" customHeight="false" outlineLevel="0" collapsed="false">
      <c r="A44" s="74" t="s">
        <v>287</v>
      </c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</row>
  </sheetData>
  <mergeCells count="13">
    <mergeCell ref="A1:M1"/>
    <mergeCell ref="A2:M2"/>
    <mergeCell ref="A3:M3"/>
    <mergeCell ref="A4:M4"/>
    <mergeCell ref="A12:F12"/>
    <mergeCell ref="A37:M37"/>
    <mergeCell ref="A38:M38"/>
    <mergeCell ref="A39:M39"/>
    <mergeCell ref="A40:M40"/>
    <mergeCell ref="A41:M41"/>
    <mergeCell ref="A42:M42"/>
    <mergeCell ref="A43:M43"/>
    <mergeCell ref="A44:M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collapsed="false" customWidth="true" hidden="false" outlineLevel="0" max="1" min="1" style="113" width="40"/>
    <col collapsed="false" customWidth="true" hidden="false" outlineLevel="0" max="2" min="2" style="113" width="12"/>
    <col collapsed="false" customWidth="true" hidden="false" outlineLevel="0" max="3" min="3" style="113" width="19.15"/>
    <col collapsed="false" customWidth="true" hidden="false" outlineLevel="0" max="4" min="4" style="113" width="16.72"/>
    <col collapsed="false" customWidth="true" hidden="false" outlineLevel="0" max="5" min="5" style="113" width="9.86"/>
    <col collapsed="false" customWidth="true" hidden="false" outlineLevel="0" max="6" min="6" style="113" width="11.15"/>
    <col collapsed="false" customWidth="true" hidden="false" outlineLevel="0" max="7" min="7" style="113" width="9.86"/>
    <col collapsed="false" customWidth="true" hidden="false" outlineLevel="0" max="12" min="8" style="113" width="9.43"/>
    <col collapsed="false" customWidth="false" hidden="false" outlineLevel="0" max="16384" min="13" style="113" width="8.72"/>
  </cols>
  <sheetData>
    <row r="1" customFormat="false" ht="19.7" hidden="false" customHeight="false" outlineLevel="0" collapsed="false">
      <c r="A1" s="114" t="s">
        <v>288</v>
      </c>
      <c r="B1" s="114"/>
      <c r="C1" s="114"/>
    </row>
    <row r="2" customFormat="false" ht="15" hidden="false" customHeight="false" outlineLevel="0" collapsed="false">
      <c r="A2" s="115" t="s">
        <v>289</v>
      </c>
    </row>
    <row r="3" customFormat="false" ht="15" hidden="false" customHeight="false" outlineLevel="0" collapsed="false">
      <c r="A3" s="115" t="s">
        <v>290</v>
      </c>
    </row>
    <row r="4" customFormat="false" ht="15" hidden="false" customHeight="false" outlineLevel="0" collapsed="false">
      <c r="A4" s="116" t="s">
        <v>245</v>
      </c>
    </row>
    <row r="5" customFormat="false" ht="15" hidden="false" customHeight="false" outlineLevel="0" collapsed="false">
      <c r="A5" s="116"/>
    </row>
    <row r="6" customFormat="false" ht="15" hidden="false" customHeight="false" outlineLevel="0" collapsed="false">
      <c r="A6" s="117" t="s">
        <v>291</v>
      </c>
      <c r="B6" s="118"/>
      <c r="C6" s="119" t="s">
        <v>247</v>
      </c>
      <c r="D6" s="118" t="s">
        <v>248</v>
      </c>
      <c r="E6" s="118" t="s">
        <v>249</v>
      </c>
      <c r="F6" s="118" t="s">
        <v>250</v>
      </c>
      <c r="G6" s="118" t="s">
        <v>251</v>
      </c>
      <c r="H6" s="118" t="s">
        <v>252</v>
      </c>
      <c r="I6" s="118" t="s">
        <v>253</v>
      </c>
      <c r="J6" s="118" t="s">
        <v>254</v>
      </c>
      <c r="K6" s="118" t="s">
        <v>255</v>
      </c>
      <c r="L6" s="120" t="s">
        <v>256</v>
      </c>
    </row>
    <row r="7" customFormat="false" ht="15" hidden="false" customHeight="false" outlineLevel="0" collapsed="false">
      <c r="A7" s="113" t="s">
        <v>292</v>
      </c>
      <c r="C7" s="121" t="n">
        <v>0.1</v>
      </c>
      <c r="D7" s="122" t="n">
        <v>0.12</v>
      </c>
      <c r="E7" s="122" t="n">
        <v>0.13</v>
      </c>
      <c r="F7" s="122" t="n">
        <v>0.14</v>
      </c>
      <c r="G7" s="122" t="n">
        <v>0.13</v>
      </c>
      <c r="H7" s="122" t="n">
        <v>0.11</v>
      </c>
      <c r="I7" s="122" t="n">
        <v>0.09</v>
      </c>
      <c r="J7" s="122" t="n">
        <v>0.07</v>
      </c>
      <c r="K7" s="122" t="n">
        <v>0.06</v>
      </c>
      <c r="L7" s="123" t="n">
        <v>0.05</v>
      </c>
      <c r="M7" s="124" t="n">
        <f aca="false">SUM(C7:L7)</f>
        <v>1</v>
      </c>
    </row>
    <row r="8" customFormat="false" ht="15" hidden="false" customHeight="false" outlineLevel="0" collapsed="false">
      <c r="A8" s="113" t="s">
        <v>293</v>
      </c>
      <c r="C8" s="121" t="n">
        <v>0.12</v>
      </c>
      <c r="D8" s="122" t="n">
        <v>0.13</v>
      </c>
      <c r="E8" s="122" t="n">
        <v>0.14</v>
      </c>
      <c r="F8" s="122" t="n">
        <v>0.13</v>
      </c>
      <c r="G8" s="122" t="n">
        <v>0.12</v>
      </c>
      <c r="H8" s="122" t="n">
        <v>0.11</v>
      </c>
      <c r="I8" s="122" t="n">
        <v>0.09</v>
      </c>
      <c r="J8" s="122" t="n">
        <v>0.07</v>
      </c>
      <c r="K8" s="122" t="n">
        <v>0.05</v>
      </c>
      <c r="L8" s="123" t="n">
        <v>0.04</v>
      </c>
      <c r="M8" s="124" t="n">
        <f aca="false">SUM(C8:L8)</f>
        <v>1</v>
      </c>
    </row>
    <row r="9" customFormat="false" ht="15" hidden="false" customHeight="false" outlineLevel="0" collapsed="false">
      <c r="A9" s="113" t="s">
        <v>294</v>
      </c>
      <c r="C9" s="121" t="n">
        <v>0.68</v>
      </c>
      <c r="D9" s="122" t="n">
        <v>0.67</v>
      </c>
      <c r="E9" s="122" t="n">
        <v>0.67</v>
      </c>
      <c r="F9" s="122" t="n">
        <v>0.68</v>
      </c>
      <c r="G9" s="122" t="n">
        <v>0.69</v>
      </c>
      <c r="H9" s="122" t="n">
        <v>0.7</v>
      </c>
      <c r="I9" s="122" t="n">
        <v>0.72</v>
      </c>
      <c r="J9" s="122" t="n">
        <v>0.75</v>
      </c>
      <c r="K9" s="122" t="n">
        <v>0.75</v>
      </c>
      <c r="L9" s="123" t="n">
        <v>0.78</v>
      </c>
    </row>
    <row r="10" customFormat="false" ht="15" hidden="false" customHeight="false" outlineLevel="0" collapsed="false">
      <c r="C10" s="125"/>
      <c r="L10" s="126"/>
    </row>
    <row r="11" customFormat="false" ht="15" hidden="false" customHeight="false" outlineLevel="0" collapsed="false">
      <c r="A11" s="117" t="s">
        <v>295</v>
      </c>
      <c r="B11" s="118"/>
      <c r="C11" s="119"/>
      <c r="D11" s="118"/>
      <c r="E11" s="118"/>
      <c r="L11" s="126"/>
    </row>
    <row r="12" customFormat="false" ht="15" hidden="false" customHeight="false" outlineLevel="0" collapsed="false">
      <c r="A12" s="117" t="s">
        <v>168</v>
      </c>
      <c r="B12" s="118" t="s">
        <v>204</v>
      </c>
      <c r="C12" s="119" t="s">
        <v>296</v>
      </c>
      <c r="D12" s="118" t="s">
        <v>297</v>
      </c>
      <c r="E12" s="118"/>
      <c r="L12" s="126"/>
    </row>
    <row r="13" customFormat="false" ht="15" hidden="false" customHeight="false" outlineLevel="0" collapsed="false">
      <c r="A13" s="113" t="s">
        <v>298</v>
      </c>
      <c r="B13" s="127" t="n">
        <v>4785</v>
      </c>
      <c r="C13" s="128" t="n">
        <v>900</v>
      </c>
      <c r="D13" s="127" t="n">
        <f aca="false">B13*C13</f>
        <v>4306500</v>
      </c>
      <c r="L13" s="126"/>
    </row>
    <row r="14" customFormat="false" ht="15" hidden="false" customHeight="false" outlineLevel="0" collapsed="false">
      <c r="A14" s="113" t="s">
        <v>299</v>
      </c>
      <c r="B14" s="127" t="n">
        <v>4495</v>
      </c>
      <c r="C14" s="128" t="n">
        <v>680</v>
      </c>
      <c r="D14" s="127" t="n">
        <f aca="false">B14*C14</f>
        <v>3056600</v>
      </c>
      <c r="L14" s="126"/>
    </row>
    <row r="15" customFormat="false" ht="15" hidden="false" customHeight="false" outlineLevel="0" collapsed="false">
      <c r="A15" s="113" t="s">
        <v>300</v>
      </c>
      <c r="B15" s="127" t="n">
        <v>1534</v>
      </c>
      <c r="C15" s="128" t="n">
        <v>640</v>
      </c>
      <c r="D15" s="127" t="n">
        <f aca="false">B15*C15</f>
        <v>981760</v>
      </c>
      <c r="E15" s="129" t="s">
        <v>301</v>
      </c>
      <c r="F15" s="129"/>
      <c r="G15" s="129"/>
      <c r="H15" s="129"/>
      <c r="I15" s="129"/>
      <c r="J15" s="129"/>
      <c r="K15" s="129"/>
      <c r="L15" s="126"/>
    </row>
    <row r="16" customFormat="false" ht="15" hidden="false" customHeight="false" outlineLevel="0" collapsed="false">
      <c r="C16" s="125"/>
      <c r="L16" s="126"/>
    </row>
    <row r="17" customFormat="false" ht="15" hidden="false" customHeight="false" outlineLevel="0" collapsed="false">
      <c r="A17" s="117" t="s">
        <v>302</v>
      </c>
      <c r="B17" s="118"/>
      <c r="C17" s="125"/>
      <c r="L17" s="126"/>
    </row>
    <row r="18" customFormat="false" ht="15" hidden="false" customHeight="false" outlineLevel="0" collapsed="false">
      <c r="A18" s="115" t="s">
        <v>303</v>
      </c>
      <c r="B18" s="130" t="n">
        <f aca="false">D13+D14+D15</f>
        <v>8344860</v>
      </c>
      <c r="C18" s="125"/>
      <c r="L18" s="126"/>
    </row>
    <row r="19" customFormat="false" ht="15" hidden="false" customHeight="false" outlineLevel="0" collapsed="false">
      <c r="A19" s="115" t="s">
        <v>304</v>
      </c>
      <c r="B19" s="131" t="n">
        <v>450000</v>
      </c>
      <c r="C19" s="125"/>
      <c r="L19" s="126"/>
    </row>
    <row r="20" customFormat="false" ht="15" hidden="false" customHeight="false" outlineLevel="0" collapsed="false">
      <c r="A20" s="115" t="s">
        <v>305</v>
      </c>
      <c r="B20" s="122" t="n">
        <v>0.27</v>
      </c>
      <c r="C20" s="125"/>
      <c r="L20" s="126"/>
    </row>
    <row r="21" customFormat="false" ht="15" hidden="false" customHeight="false" outlineLevel="0" collapsed="false">
      <c r="A21" s="115" t="s">
        <v>306</v>
      </c>
      <c r="B21" s="122" t="n">
        <v>0.05</v>
      </c>
      <c r="C21" s="125"/>
      <c r="L21" s="126"/>
    </row>
    <row r="22" customFormat="false" ht="15" hidden="false" customHeight="false" outlineLevel="0" collapsed="false">
      <c r="C22" s="125"/>
      <c r="L22" s="126"/>
    </row>
    <row r="23" customFormat="false" ht="15" hidden="false" customHeight="false" outlineLevel="0" collapsed="false">
      <c r="A23" s="117" t="s">
        <v>267</v>
      </c>
      <c r="B23" s="118"/>
      <c r="C23" s="119" t="s">
        <v>247</v>
      </c>
      <c r="D23" s="118" t="s">
        <v>248</v>
      </c>
      <c r="E23" s="118" t="s">
        <v>249</v>
      </c>
      <c r="F23" s="117" t="s">
        <v>250</v>
      </c>
      <c r="G23" s="118" t="s">
        <v>251</v>
      </c>
      <c r="H23" s="118" t="s">
        <v>252</v>
      </c>
      <c r="I23" s="118" t="s">
        <v>253</v>
      </c>
      <c r="J23" s="118" t="s">
        <v>254</v>
      </c>
      <c r="K23" s="117" t="s">
        <v>255</v>
      </c>
      <c r="L23" s="120" t="s">
        <v>256</v>
      </c>
    </row>
    <row r="24" customFormat="false" ht="15" hidden="false" customHeight="false" outlineLevel="0" collapsed="false">
      <c r="A24" s="113" t="s">
        <v>268</v>
      </c>
      <c r="C24" s="132" t="n">
        <v>834486</v>
      </c>
      <c r="D24" s="127" t="n">
        <v>1001383</v>
      </c>
      <c r="E24" s="127" t="n">
        <v>1084832</v>
      </c>
      <c r="F24" s="127" t="n">
        <v>1168280</v>
      </c>
      <c r="G24" s="127" t="n">
        <v>1084832</v>
      </c>
      <c r="H24" s="127" t="n">
        <v>917935</v>
      </c>
      <c r="I24" s="127" t="n">
        <v>751037</v>
      </c>
      <c r="J24" s="127" t="n">
        <v>584140</v>
      </c>
      <c r="K24" s="127" t="n">
        <v>500692</v>
      </c>
      <c r="L24" s="133" t="n">
        <v>417243</v>
      </c>
    </row>
    <row r="25" customFormat="false" ht="15" hidden="false" customHeight="false" outlineLevel="0" collapsed="false">
      <c r="A25" s="113" t="s">
        <v>307</v>
      </c>
      <c r="C25" s="132" t="n">
        <v>-567450</v>
      </c>
      <c r="D25" s="127" t="n">
        <v>-670927</v>
      </c>
      <c r="E25" s="127" t="n">
        <v>-726837</v>
      </c>
      <c r="F25" s="127" t="n">
        <v>-794431</v>
      </c>
      <c r="G25" s="127" t="n">
        <v>-748534</v>
      </c>
      <c r="H25" s="127" t="n">
        <v>-642554</v>
      </c>
      <c r="I25" s="127" t="n">
        <v>-540747</v>
      </c>
      <c r="J25" s="127" t="n">
        <v>-438105</v>
      </c>
      <c r="K25" s="127" t="n">
        <v>-375519</v>
      </c>
      <c r="L25" s="133" t="n">
        <v>-325450</v>
      </c>
    </row>
    <row r="26" customFormat="false" ht="15" hidden="false" customHeight="false" outlineLevel="0" collapsed="false">
      <c r="A26" s="115" t="s">
        <v>215</v>
      </c>
      <c r="C26" s="134" t="n">
        <f aca="false">C24+C25</f>
        <v>267036</v>
      </c>
      <c r="D26" s="130" t="n">
        <f aca="false">D24+D25</f>
        <v>330456</v>
      </c>
      <c r="E26" s="130" t="n">
        <f aca="false">E24+E25</f>
        <v>357995</v>
      </c>
      <c r="F26" s="130" t="n">
        <f aca="false">F24+F25</f>
        <v>373849</v>
      </c>
      <c r="G26" s="130" t="n">
        <f aca="false">G24+G25</f>
        <v>336298</v>
      </c>
      <c r="H26" s="130" t="n">
        <f aca="false">H24+H25</f>
        <v>275381</v>
      </c>
      <c r="I26" s="130" t="n">
        <f aca="false">I24+I25</f>
        <v>210290</v>
      </c>
      <c r="J26" s="130" t="n">
        <f aca="false">J24+J25</f>
        <v>146035</v>
      </c>
      <c r="K26" s="130" t="n">
        <f aca="false">K24+K25</f>
        <v>125173</v>
      </c>
      <c r="L26" s="135" t="n">
        <f aca="false">L24+L25</f>
        <v>91793</v>
      </c>
    </row>
    <row r="27" customFormat="false" ht="15" hidden="false" customHeight="false" outlineLevel="0" collapsed="false">
      <c r="A27" s="113" t="s">
        <v>216</v>
      </c>
      <c r="C27" s="132" t="n">
        <v>-54000</v>
      </c>
      <c r="D27" s="127" t="n">
        <v>-58500</v>
      </c>
      <c r="E27" s="127" t="n">
        <v>-63000</v>
      </c>
      <c r="F27" s="127" t="n">
        <v>-58500</v>
      </c>
      <c r="G27" s="127" t="n">
        <v>-54000</v>
      </c>
      <c r="H27" s="127" t="n">
        <v>-49500</v>
      </c>
      <c r="I27" s="127" t="n">
        <v>-40500</v>
      </c>
      <c r="J27" s="127" t="n">
        <v>-31500</v>
      </c>
      <c r="K27" s="127" t="n">
        <v>-22500</v>
      </c>
      <c r="L27" s="133" t="n">
        <v>-18000</v>
      </c>
    </row>
    <row r="28" customFormat="false" ht="15" hidden="false" customHeight="false" outlineLevel="0" collapsed="false">
      <c r="A28" s="113" t="s">
        <v>308</v>
      </c>
      <c r="C28" s="132" t="n">
        <v>-41724</v>
      </c>
      <c r="D28" s="127" t="n">
        <v>-50069</v>
      </c>
      <c r="E28" s="127" t="n">
        <v>-54242</v>
      </c>
      <c r="F28" s="127" t="n">
        <v>-58414</v>
      </c>
      <c r="G28" s="127" t="n">
        <v>-54242</v>
      </c>
      <c r="H28" s="127" t="n">
        <v>-45897</v>
      </c>
      <c r="I28" s="127" t="n">
        <v>-37552</v>
      </c>
      <c r="J28" s="127" t="n">
        <v>-29207</v>
      </c>
      <c r="K28" s="127" t="n">
        <v>-25035</v>
      </c>
      <c r="L28" s="133" t="n">
        <v>-20862</v>
      </c>
    </row>
    <row r="29" customFormat="false" ht="15" hidden="false" customHeight="false" outlineLevel="0" collapsed="false">
      <c r="A29" s="115" t="s">
        <v>309</v>
      </c>
      <c r="C29" s="134" t="n">
        <f aca="false">C26+C27+C28</f>
        <v>171312</v>
      </c>
      <c r="D29" s="130" t="n">
        <f aca="false">D26+D27+D28</f>
        <v>221887</v>
      </c>
      <c r="E29" s="130" t="n">
        <f aca="false">E26+E27+E28</f>
        <v>240753</v>
      </c>
      <c r="F29" s="130" t="n">
        <f aca="false">F26+F27+F28</f>
        <v>256935</v>
      </c>
      <c r="G29" s="130" t="n">
        <f aca="false">G26+G27+G28</f>
        <v>228056</v>
      </c>
      <c r="H29" s="130" t="n">
        <f aca="false">H26+H27+H28</f>
        <v>179984</v>
      </c>
      <c r="I29" s="130" t="n">
        <f aca="false">I26+I27+I28</f>
        <v>132238</v>
      </c>
      <c r="J29" s="130" t="n">
        <f aca="false">J26+J27+J28</f>
        <v>85328</v>
      </c>
      <c r="K29" s="130" t="n">
        <f aca="false">K26+K27+K28</f>
        <v>77638</v>
      </c>
      <c r="L29" s="135" t="n">
        <f aca="false">L26+L27+L28</f>
        <v>52931</v>
      </c>
    </row>
    <row r="30" customFormat="false" ht="15" hidden="false" customHeight="false" outlineLevel="0" collapsed="false">
      <c r="A30" s="113" t="s">
        <v>310</v>
      </c>
      <c r="C30" s="132" t="n">
        <f aca="false">IF(C26&gt;0,-C26*$B$20,0)</f>
        <v>-72099.72</v>
      </c>
      <c r="D30" s="127" t="n">
        <f aca="false">IF(D26&gt;0,-D26*$B$20,0)</f>
        <v>-89223.12</v>
      </c>
      <c r="E30" s="127" t="n">
        <f aca="false">IF(E26&gt;0,-E26*$B$20,0)</f>
        <v>-96658.65</v>
      </c>
      <c r="F30" s="127" t="n">
        <f aca="false">IF(F26&gt;0,-F26*$B$20,0)</f>
        <v>-100939.23</v>
      </c>
      <c r="G30" s="127" t="n">
        <f aca="false">IF(G26&gt;0,-G26*$B$20,0)</f>
        <v>-90800.46</v>
      </c>
      <c r="H30" s="127" t="n">
        <f aca="false">IF(H26&gt;0,-H26*$B$20,0)</f>
        <v>-74352.87</v>
      </c>
      <c r="I30" s="127" t="n">
        <f aca="false">IF(I26&gt;0,-I26*$B$20,0)</f>
        <v>-56778.3</v>
      </c>
      <c r="J30" s="127" t="n">
        <f aca="false">IF(J26&gt;0,-J26*$B$20,0)</f>
        <v>-39429.45</v>
      </c>
      <c r="K30" s="127" t="n">
        <f aca="false">IF(K26&gt;0,-K26*$B$20,0)</f>
        <v>-33796.71</v>
      </c>
      <c r="L30" s="133" t="n">
        <f aca="false">IF(L26&gt;0,-L26*$B$20,0)</f>
        <v>-24784.11</v>
      </c>
    </row>
    <row r="31" customFormat="false" ht="15" hidden="false" customHeight="false" outlineLevel="0" collapsed="false">
      <c r="A31" s="115" t="s">
        <v>311</v>
      </c>
      <c r="C31" s="134" t="n">
        <f aca="false">C29+C30</f>
        <v>99212.28</v>
      </c>
      <c r="D31" s="130" t="n">
        <f aca="false">D29+D30</f>
        <v>132663.88</v>
      </c>
      <c r="E31" s="130" t="n">
        <f aca="false">E29+E30</f>
        <v>144094.35</v>
      </c>
      <c r="F31" s="130" t="n">
        <f aca="false">F29+F30</f>
        <v>155995.77</v>
      </c>
      <c r="G31" s="130" t="n">
        <f aca="false">G29+G30</f>
        <v>137255.54</v>
      </c>
      <c r="H31" s="130" t="n">
        <f aca="false">H29+H30</f>
        <v>105631.13</v>
      </c>
      <c r="I31" s="130" t="n">
        <f aca="false">I29+I30</f>
        <v>75459.7</v>
      </c>
      <c r="J31" s="130" t="n">
        <f aca="false">J29+J30</f>
        <v>45898.55</v>
      </c>
      <c r="K31" s="130" t="n">
        <f aca="false">K29+K30</f>
        <v>43841.29</v>
      </c>
      <c r="L31" s="135" t="n">
        <f aca="false">L29+L30</f>
        <v>28146.89</v>
      </c>
    </row>
    <row r="32" customFormat="false" ht="15" hidden="false" customHeight="false" outlineLevel="0" collapsed="false">
      <c r="A32" s="115" t="s">
        <v>312</v>
      </c>
      <c r="C32" s="134" t="n">
        <f aca="false">C31</f>
        <v>99212.28</v>
      </c>
      <c r="D32" s="130" t="n">
        <f aca="false">C32+D31</f>
        <v>231876.16</v>
      </c>
      <c r="E32" s="130" t="n">
        <f aca="false">D32+E31</f>
        <v>375970.51</v>
      </c>
      <c r="F32" s="130" t="n">
        <f aca="false">E32+F31</f>
        <v>531966.28</v>
      </c>
      <c r="G32" s="130" t="n">
        <f aca="false">F32+G31</f>
        <v>669221.82</v>
      </c>
      <c r="H32" s="130" t="n">
        <f aca="false">G32+H31</f>
        <v>774852.95</v>
      </c>
      <c r="I32" s="130" t="n">
        <f aca="false">H32+I31</f>
        <v>850312.65</v>
      </c>
      <c r="J32" s="130" t="n">
        <f aca="false">I32+J31</f>
        <v>896211.2</v>
      </c>
      <c r="K32" s="130" t="n">
        <f aca="false">J32+K31</f>
        <v>940052.49</v>
      </c>
      <c r="L32" s="135" t="n">
        <f aca="false">K32+L31</f>
        <v>968199.38</v>
      </c>
    </row>
    <row r="33" customFormat="false" ht="15" hidden="false" customHeight="false" outlineLevel="0" collapsed="false">
      <c r="C33" s="125"/>
      <c r="L33" s="126"/>
    </row>
    <row r="34" customFormat="false" ht="15" hidden="false" customHeight="false" outlineLevel="0" collapsed="false">
      <c r="A34" s="117" t="s">
        <v>272</v>
      </c>
      <c r="B34" s="118"/>
      <c r="C34" s="119" t="s">
        <v>247</v>
      </c>
      <c r="D34" s="118" t="s">
        <v>248</v>
      </c>
      <c r="E34" s="118" t="s">
        <v>249</v>
      </c>
      <c r="F34" s="117" t="s">
        <v>250</v>
      </c>
      <c r="G34" s="118" t="s">
        <v>251</v>
      </c>
      <c r="H34" s="118" t="s">
        <v>252</v>
      </c>
      <c r="I34" s="118" t="s">
        <v>253</v>
      </c>
      <c r="J34" s="118" t="s">
        <v>254</v>
      </c>
      <c r="K34" s="117" t="s">
        <v>255</v>
      </c>
      <c r="L34" s="120" t="s">
        <v>256</v>
      </c>
    </row>
    <row r="35" customFormat="false" ht="15" hidden="false" customHeight="false" outlineLevel="0" collapsed="false">
      <c r="A35" s="113" t="s">
        <v>313</v>
      </c>
      <c r="C35" s="136" t="n">
        <f aca="false">IF(C24=0,0,C26/C24)</f>
        <v>0.320000575204377</v>
      </c>
      <c r="D35" s="124" t="n">
        <f aca="false">IF(D24=0,0,D26/D24)</f>
        <v>0.329999610538625</v>
      </c>
      <c r="E35" s="124" t="n">
        <f aca="false">IF(E24=0,0,E26/E24)</f>
        <v>0.330000405592755</v>
      </c>
      <c r="F35" s="124" t="n">
        <f aca="false">IF(F24=0,0,F26/F24)</f>
        <v>0.319999486424487</v>
      </c>
      <c r="G35" s="124" t="n">
        <f aca="false">IF(G24=0,0,G26/G24)</f>
        <v>0.310000073744137</v>
      </c>
      <c r="H35" s="124" t="n">
        <f aca="false">IF(H24=0,0,H26/H24)</f>
        <v>0.300000544700878</v>
      </c>
      <c r="I35" s="124" t="n">
        <f aca="false">IF(I24=0,0,I26/I24)</f>
        <v>0.279999520662764</v>
      </c>
      <c r="J35" s="124" t="n">
        <f aca="false">IF(J24=0,0,J26/J24)</f>
        <v>0.25</v>
      </c>
      <c r="K35" s="124" t="n">
        <f aca="false">IF(K24=0,0,K26/K24)</f>
        <v>0.25</v>
      </c>
      <c r="L35" s="137" t="n">
        <f aca="false">IF(L24=0,0,L26/L24)</f>
        <v>0.219998897524944</v>
      </c>
    </row>
    <row r="36" customFormat="false" ht="15" hidden="false" customHeight="false" outlineLevel="0" collapsed="false">
      <c r="A36" s="113" t="s">
        <v>314</v>
      </c>
      <c r="C36" s="136" t="n">
        <f aca="false">IF(C24=0,0,C29/C24)</f>
        <v>0.205290442260266</v>
      </c>
      <c r="D36" s="124" t="n">
        <f aca="false">IF(D24=0,0,D29/D24)</f>
        <v>0.221580554093688</v>
      </c>
      <c r="E36" s="124" t="n">
        <f aca="false">IF(E24=0,0,E29/E24)</f>
        <v>0.221926528715967</v>
      </c>
      <c r="F36" s="124" t="n">
        <f aca="false">IF(F24=0,0,F29/F24)</f>
        <v>0.219925873934331</v>
      </c>
      <c r="G36" s="124" t="n">
        <f aca="false">IF(G24=0,0,G29/G24)</f>
        <v>0.210222412318221</v>
      </c>
      <c r="H36" s="124" t="n">
        <f aca="false">IF(H24=0,0,H29/H24)</f>
        <v>0.196074885476641</v>
      </c>
      <c r="I36" s="124" t="n">
        <f aca="false">IF(I24=0,0,I29/I24)</f>
        <v>0.176073881846034</v>
      </c>
      <c r="J36" s="124" t="n">
        <f aca="false">IF(J24=0,0,J29/J24)</f>
        <v>0.146074571164447</v>
      </c>
      <c r="K36" s="124" t="n">
        <f aca="false">IF(K24=0,0,K29/K24)</f>
        <v>0.15506139502928</v>
      </c>
      <c r="L36" s="137" t="n">
        <f aca="false">IF(L24=0,0,L29/L24)</f>
        <v>0.126858928729781</v>
      </c>
    </row>
    <row r="37" customFormat="false" ht="15" hidden="false" customHeight="false" outlineLevel="0" collapsed="false">
      <c r="A37" s="113" t="s">
        <v>315</v>
      </c>
      <c r="C37" s="136" t="n">
        <f aca="false">IF(C24=0,0,C31/C24)</f>
        <v>0.118890286955084</v>
      </c>
      <c r="D37" s="124" t="n">
        <f aca="false">IF(D24=0,0,D31/D24)</f>
        <v>0.13248065924826</v>
      </c>
      <c r="E37" s="124" t="n">
        <f aca="false">IF(E24=0,0,E31/E24)</f>
        <v>0.132826419205923</v>
      </c>
      <c r="F37" s="124" t="n">
        <f aca="false">IF(F24=0,0,F31/F24)</f>
        <v>0.133526012599719</v>
      </c>
      <c r="G37" s="124" t="n">
        <f aca="false">IF(G24=0,0,G31/G24)</f>
        <v>0.126522392407304</v>
      </c>
      <c r="H37" s="124" t="n">
        <f aca="false">IF(H24=0,0,H31/H24)</f>
        <v>0.115074738407404</v>
      </c>
      <c r="I37" s="124" t="n">
        <f aca="false">IF(I24=0,0,I31/I24)</f>
        <v>0.100474011267088</v>
      </c>
      <c r="J37" s="124" t="n">
        <f aca="false">IF(J24=0,0,J31/J24)</f>
        <v>0.0785745711644469</v>
      </c>
      <c r="K37" s="124" t="n">
        <f aca="false">IF(K24=0,0,K31/K24)</f>
        <v>0.0875613950292795</v>
      </c>
      <c r="L37" s="137" t="n">
        <f aca="false">IF(L24=0,0,L31/L24)</f>
        <v>0.0674592263980462</v>
      </c>
    </row>
    <row r="38" customFormat="false" ht="15" hidden="false" customHeight="false" outlineLevel="0" collapsed="false">
      <c r="C38" s="125"/>
      <c r="L38" s="126"/>
    </row>
    <row r="39" customFormat="false" ht="15" hidden="false" customHeight="false" outlineLevel="0" collapsed="false">
      <c r="A39" s="138" t="s">
        <v>225</v>
      </c>
      <c r="B39" s="138"/>
      <c r="C39" s="139" t="n">
        <f aca="false">C24</f>
        <v>834486</v>
      </c>
      <c r="D39" s="140" t="n">
        <f aca="false">D24</f>
        <v>1001383</v>
      </c>
      <c r="E39" s="140" t="n">
        <f aca="false">E24</f>
        <v>1084832</v>
      </c>
      <c r="F39" s="140" t="n">
        <f aca="false">F24</f>
        <v>1168280</v>
      </c>
      <c r="G39" s="140" t="n">
        <f aca="false">G24</f>
        <v>1084832</v>
      </c>
      <c r="H39" s="140" t="n">
        <f aca="false">H24</f>
        <v>917935</v>
      </c>
      <c r="I39" s="140" t="n">
        <f aca="false">I24</f>
        <v>751037</v>
      </c>
      <c r="J39" s="140" t="n">
        <f aca="false">J24</f>
        <v>584140</v>
      </c>
      <c r="K39" s="140" t="n">
        <f aca="false">K24</f>
        <v>500692</v>
      </c>
      <c r="L39" s="141" t="n">
        <f aca="false">L24</f>
        <v>417243</v>
      </c>
    </row>
    <row r="40" customFormat="false" ht="15" hidden="false" customHeight="false" outlineLevel="0" collapsed="false">
      <c r="A40" s="142" t="s">
        <v>224</v>
      </c>
      <c r="B40" s="142"/>
      <c r="C40" s="143" t="n">
        <f aca="false">C25+C27+C28+C30</f>
        <v>-735273.72</v>
      </c>
      <c r="D40" s="144" t="n">
        <f aca="false">D25+D27+D28+D30</f>
        <v>-868719.12</v>
      </c>
      <c r="E40" s="144" t="n">
        <f aca="false">E25+E27+E28+E30</f>
        <v>-940737.65</v>
      </c>
      <c r="F40" s="144" t="n">
        <f aca="false">F25+F27+F28+F30</f>
        <v>-1012284.23</v>
      </c>
      <c r="G40" s="144" t="n">
        <f aca="false">G25+G27+G28+G30</f>
        <v>-947576.46</v>
      </c>
      <c r="H40" s="144" t="n">
        <f aca="false">H25+H27+H28+H30</f>
        <v>-812303.87</v>
      </c>
      <c r="I40" s="144" t="n">
        <f aca="false">I25+I27+I28+I30</f>
        <v>-675577.3</v>
      </c>
      <c r="J40" s="144" t="n">
        <f aca="false">J25+J27+J28+J30</f>
        <v>-538241.45</v>
      </c>
      <c r="K40" s="144" t="n">
        <f aca="false">K25+K27+K28+K30</f>
        <v>-456850.71</v>
      </c>
      <c r="L40" s="145" t="n">
        <f aca="false">L25+L27+L28+L30</f>
        <v>-389096.11</v>
      </c>
    </row>
    <row r="41" customFormat="false" ht="15" hidden="false" customHeight="false" outlineLevel="0" collapsed="false">
      <c r="C41" s="125"/>
      <c r="L41" s="126"/>
    </row>
    <row r="42" customFormat="false" ht="15" hidden="false" customHeight="false" outlineLevel="0" collapsed="false">
      <c r="A42" s="117" t="s">
        <v>274</v>
      </c>
      <c r="B42" s="118"/>
      <c r="C42" s="119" t="s">
        <v>316</v>
      </c>
      <c r="D42" s="118" t="s">
        <v>316</v>
      </c>
      <c r="E42" s="118" t="s">
        <v>316</v>
      </c>
      <c r="F42" s="118" t="s">
        <v>317</v>
      </c>
      <c r="G42" s="118" t="s">
        <v>317</v>
      </c>
      <c r="H42" s="118" t="s">
        <v>318</v>
      </c>
      <c r="I42" s="118" t="s">
        <v>319</v>
      </c>
      <c r="J42" s="118" t="s">
        <v>319</v>
      </c>
      <c r="K42" s="118" t="s">
        <v>319</v>
      </c>
      <c r="L42" s="120" t="s">
        <v>319</v>
      </c>
    </row>
    <row r="44" customFormat="false" ht="15" hidden="false" customHeight="false" outlineLevel="0" collapsed="false">
      <c r="A44" s="146" t="s">
        <v>320</v>
      </c>
      <c r="B44" s="146"/>
      <c r="C44" s="146"/>
      <c r="D44" s="146"/>
      <c r="E44" s="146"/>
      <c r="F44" s="146"/>
      <c r="G44" s="146"/>
      <c r="H44" s="146"/>
      <c r="I44" s="146"/>
      <c r="J44" s="146"/>
      <c r="K44" s="146"/>
      <c r="L44" s="146"/>
    </row>
    <row r="45" customFormat="false" ht="15" hidden="false" customHeight="false" outlineLevel="0" collapsed="false">
      <c r="A45" s="146" t="s">
        <v>321</v>
      </c>
      <c r="B45" s="146"/>
      <c r="C45" s="146"/>
      <c r="D45" s="146"/>
      <c r="E45" s="146"/>
      <c r="F45" s="146"/>
      <c r="G45" s="146"/>
      <c r="H45" s="146"/>
      <c r="I45" s="146"/>
      <c r="J45" s="146"/>
      <c r="K45" s="146"/>
      <c r="L45" s="146"/>
    </row>
    <row r="46" customFormat="false" ht="15" hidden="false" customHeight="false" outlineLevel="0" collapsed="false">
      <c r="A46" s="146" t="s">
        <v>322</v>
      </c>
      <c r="B46" s="146"/>
      <c r="C46" s="146"/>
      <c r="D46" s="146"/>
      <c r="E46" s="146"/>
      <c r="F46" s="146"/>
      <c r="G46" s="146"/>
      <c r="H46" s="146"/>
      <c r="I46" s="146"/>
      <c r="J46" s="146"/>
      <c r="K46" s="146"/>
      <c r="L46" s="146"/>
    </row>
    <row r="47" customFormat="false" ht="15" hidden="false" customHeight="false" outlineLevel="0" collapsed="false">
      <c r="A47" s="146" t="s">
        <v>323</v>
      </c>
      <c r="B47" s="146"/>
      <c r="C47" s="146"/>
      <c r="D47" s="146"/>
      <c r="E47" s="146"/>
      <c r="F47" s="146"/>
      <c r="G47" s="146"/>
      <c r="H47" s="146"/>
      <c r="I47" s="146"/>
      <c r="J47" s="146"/>
      <c r="K47" s="146"/>
      <c r="L47" s="146"/>
    </row>
    <row r="48" customFormat="false" ht="15" hidden="false" customHeight="false" outlineLevel="0" collapsed="false">
      <c r="A48" s="146" t="s">
        <v>324</v>
      </c>
      <c r="B48" s="146"/>
      <c r="C48" s="146"/>
      <c r="D48" s="146"/>
      <c r="E48" s="146"/>
      <c r="F48" s="146"/>
      <c r="G48" s="146"/>
      <c r="H48" s="146"/>
      <c r="I48" s="146"/>
      <c r="J48" s="146"/>
      <c r="K48" s="146"/>
      <c r="L48" s="146"/>
    </row>
    <row r="49" customFormat="false" ht="15" hidden="false" customHeight="false" outlineLevel="0" collapsed="false">
      <c r="A49" s="146" t="s">
        <v>325</v>
      </c>
      <c r="B49" s="146"/>
      <c r="C49" s="146"/>
      <c r="D49" s="146"/>
      <c r="E49" s="146"/>
      <c r="F49" s="146"/>
      <c r="G49" s="146"/>
      <c r="H49" s="146"/>
      <c r="I49" s="146"/>
      <c r="J49" s="146"/>
      <c r="K49" s="146"/>
      <c r="L49" s="146"/>
    </row>
    <row r="50" customFormat="false" ht="15" hidden="false" customHeight="false" outlineLevel="0" collapsed="false">
      <c r="A50" s="146" t="s">
        <v>326</v>
      </c>
      <c r="B50" s="146"/>
      <c r="C50" s="146"/>
      <c r="D50" s="146"/>
      <c r="E50" s="146"/>
      <c r="F50" s="146"/>
      <c r="G50" s="146"/>
      <c r="H50" s="146"/>
      <c r="I50" s="146"/>
      <c r="J50" s="146"/>
      <c r="K50" s="146"/>
      <c r="L50" s="146"/>
    </row>
    <row r="51" customFormat="false" ht="15" hidden="false" customHeight="false" outlineLevel="0" collapsed="false">
      <c r="A51" s="146" t="s">
        <v>327</v>
      </c>
      <c r="B51" s="146"/>
      <c r="C51" s="146"/>
      <c r="D51" s="146"/>
      <c r="E51" s="146"/>
      <c r="F51" s="146"/>
      <c r="G51" s="146"/>
      <c r="H51" s="146"/>
      <c r="I51" s="146"/>
      <c r="J51" s="146"/>
      <c r="K51" s="146"/>
      <c r="L51" s="146"/>
    </row>
    <row r="52" customFormat="false" ht="15" hidden="false" customHeight="false" outlineLevel="0" collapsed="false">
      <c r="A52" s="146" t="s">
        <v>328</v>
      </c>
      <c r="B52" s="146"/>
      <c r="C52" s="146"/>
      <c r="D52" s="146"/>
      <c r="E52" s="146"/>
      <c r="F52" s="146"/>
      <c r="G52" s="146"/>
      <c r="H52" s="146"/>
      <c r="I52" s="146"/>
      <c r="J52" s="146"/>
      <c r="K52" s="146"/>
      <c r="L52" s="146"/>
    </row>
    <row r="53" customFormat="false" ht="15" hidden="false" customHeight="false" outlineLevel="0" collapsed="false">
      <c r="A53" s="146" t="s">
        <v>329</v>
      </c>
      <c r="B53" s="146"/>
      <c r="C53" s="146"/>
      <c r="D53" s="146"/>
      <c r="E53" s="146"/>
      <c r="F53" s="146"/>
      <c r="G53" s="146"/>
      <c r="H53" s="146"/>
      <c r="I53" s="146"/>
      <c r="J53" s="146"/>
      <c r="K53" s="146"/>
      <c r="L53" s="146"/>
    </row>
  </sheetData>
  <mergeCells count="15">
    <mergeCell ref="A1:C1"/>
    <mergeCell ref="D12:E12"/>
    <mergeCell ref="E15:K15"/>
    <mergeCell ref="A39:B39"/>
    <mergeCell ref="A40:B40"/>
    <mergeCell ref="A44:L44"/>
    <mergeCell ref="A45:L45"/>
    <mergeCell ref="A46:L46"/>
    <mergeCell ref="A47:L47"/>
    <mergeCell ref="A48:L48"/>
    <mergeCell ref="A49:L49"/>
    <mergeCell ref="A50:L50"/>
    <mergeCell ref="A51:L51"/>
    <mergeCell ref="A52:L52"/>
    <mergeCell ref="A53:L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B9" colorId="64" zoomScale="73" zoomScaleNormal="73" zoomScalePageLayoutView="100" workbookViewId="0">
      <selection pane="topLeft" activeCell="B9" activeCellId="0" sqref="B9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59.15"/>
    <col collapsed="false" customWidth="true" hidden="false" outlineLevel="0" max="2" min="2" style="0" width="25"/>
    <col collapsed="false" customWidth="true" hidden="false" outlineLevel="0" max="5" min="3" style="0" width="12.43"/>
  </cols>
  <sheetData>
    <row r="1" customFormat="false" ht="15" hidden="false" customHeight="false" outlineLevel="0" collapsed="false">
      <c r="B1" s="0" t="s">
        <v>330</v>
      </c>
      <c r="C1" s="0" t="s">
        <v>331</v>
      </c>
      <c r="D1" s="0" t="s">
        <v>332</v>
      </c>
      <c r="E1" s="0" t="s">
        <v>333</v>
      </c>
    </row>
    <row r="2" customFormat="false" ht="15" hidden="false" customHeight="false" outlineLevel="0" collapsed="false">
      <c r="A2" s="0" t="s">
        <v>334</v>
      </c>
      <c r="B2" s="0" t="n">
        <v>17915449</v>
      </c>
      <c r="C2" s="0" t="n">
        <v>18322449</v>
      </c>
      <c r="D2" s="0" t="n">
        <v>18894449</v>
      </c>
      <c r="E2" s="0" t="n">
        <v>18894449</v>
      </c>
    </row>
    <row r="3" customFormat="false" ht="15" hidden="false" customHeight="false" outlineLevel="0" collapsed="false">
      <c r="A3" s="0" t="s">
        <v>335</v>
      </c>
      <c r="B3" s="0" t="n">
        <v>96466126</v>
      </c>
      <c r="C3" s="0" t="n">
        <v>96059126</v>
      </c>
      <c r="D3" s="0" t="n">
        <v>121400069</v>
      </c>
      <c r="E3" s="0" t="n">
        <v>121400069</v>
      </c>
    </row>
    <row r="4" customFormat="false" ht="15" hidden="false" customHeight="false" outlineLevel="0" collapsed="false">
      <c r="A4" s="0" t="s">
        <v>336</v>
      </c>
      <c r="B4" s="0" t="n">
        <v>114381575</v>
      </c>
      <c r="C4" s="0" t="n">
        <v>114381575</v>
      </c>
      <c r="D4" s="0" t="n">
        <v>140294518</v>
      </c>
      <c r="E4" s="0" t="n">
        <v>140294518</v>
      </c>
    </row>
    <row r="5" customFormat="false" ht="15" hidden="false" customHeight="false" outlineLevel="0" collapsed="false">
      <c r="A5" s="0" t="s">
        <v>337</v>
      </c>
      <c r="B5" s="0" t="n">
        <v>950999659</v>
      </c>
      <c r="C5" s="0" t="n">
        <v>812158121</v>
      </c>
      <c r="D5" s="0" t="n">
        <v>703747997</v>
      </c>
      <c r="E5" s="0" t="n">
        <v>647953523</v>
      </c>
    </row>
    <row r="6" customFormat="false" ht="15" hidden="false" customHeight="false" outlineLevel="0" collapsed="false">
      <c r="A6" s="0" t="s">
        <v>338</v>
      </c>
      <c r="B6" s="0" t="n">
        <v>1128648074</v>
      </c>
      <c r="C6" s="0" t="n">
        <v>959537809</v>
      </c>
      <c r="D6" s="0" t="n">
        <v>876362327</v>
      </c>
      <c r="E6" s="0" t="n">
        <v>853684610</v>
      </c>
    </row>
    <row r="7" customFormat="false" ht="15" hidden="false" customHeight="false" outlineLevel="0" collapsed="false">
      <c r="A7" s="0" t="s">
        <v>339</v>
      </c>
      <c r="B7" s="0" t="n">
        <v>1270771659</v>
      </c>
      <c r="C7" s="0" t="n">
        <v>1114215266</v>
      </c>
      <c r="D7" s="0" t="n">
        <v>985274139</v>
      </c>
      <c r="E7" s="0" t="n">
        <v>803439032</v>
      </c>
    </row>
    <row r="8" customFormat="false" ht="15" hidden="false" customHeight="false" outlineLevel="0" collapsed="false">
      <c r="A8" s="0" t="s">
        <v>340</v>
      </c>
      <c r="B8" s="0" t="n">
        <v>2536144370</v>
      </c>
      <c r="C8" s="0" t="n">
        <v>2208661942</v>
      </c>
      <c r="D8" s="0" t="n">
        <v>2021287000</v>
      </c>
      <c r="E8" s="0" t="n">
        <v>1802157338</v>
      </c>
    </row>
    <row r="9" customFormat="false" ht="15" hidden="false" customHeight="false" outlineLevel="0" collapsed="false">
      <c r="A9" s="0" t="s">
        <v>341</v>
      </c>
      <c r="B9" s="0" t="n">
        <v>1373501666</v>
      </c>
      <c r="C9" s="0" t="n">
        <v>1165268091</v>
      </c>
      <c r="D9" s="0" t="n">
        <v>1123470216</v>
      </c>
      <c r="E9" s="0" t="n">
        <v>897556667</v>
      </c>
    </row>
    <row r="10" customFormat="false" ht="15" hidden="false" customHeight="false" outlineLevel="0" collapsed="false">
      <c r="A10" s="0" t="s">
        <v>342</v>
      </c>
      <c r="B10" s="0" t="n">
        <v>1270771659</v>
      </c>
      <c r="C10" s="0" t="n">
        <v>1114215266</v>
      </c>
      <c r="D10" s="0" t="n">
        <v>985274139</v>
      </c>
      <c r="E10" s="0" t="n">
        <v>803439032</v>
      </c>
    </row>
    <row r="11" customFormat="false" ht="15" hidden="false" customHeight="false" outlineLevel="0" collapsed="false">
      <c r="A11" s="0" t="s">
        <v>343</v>
      </c>
      <c r="B11" s="0" t="n">
        <v>22925880</v>
      </c>
      <c r="C11" s="0" t="n">
        <v>24741667</v>
      </c>
      <c r="D11" s="0" t="n">
        <v>11543229</v>
      </c>
      <c r="E11" s="0" t="n">
        <v>14616838</v>
      </c>
    </row>
    <row r="12" customFormat="false" ht="15" hidden="false" customHeight="false" outlineLevel="0" collapsed="false">
      <c r="A12" s="0" t="s">
        <v>344</v>
      </c>
      <c r="B12" s="0" t="n">
        <v>1430422176</v>
      </c>
      <c r="C12" s="0" t="n">
        <v>1273865800</v>
      </c>
      <c r="D12" s="0" t="n">
        <v>1144924673</v>
      </c>
      <c r="E12" s="0" t="n">
        <v>963089566</v>
      </c>
    </row>
    <row r="13" customFormat="false" ht="15" hidden="false" customHeight="false" outlineLevel="0" collapsed="false">
      <c r="A13" s="0" t="s">
        <v>345</v>
      </c>
      <c r="B13" s="0" t="n">
        <v>2396144370</v>
      </c>
      <c r="C13" s="0" t="n">
        <v>1996911942</v>
      </c>
      <c r="D13" s="0" t="n">
        <v>1144924673</v>
      </c>
      <c r="E13" s="0" t="n">
        <v>963089566</v>
      </c>
    </row>
    <row r="14" customFormat="false" ht="15" hidden="false" customHeight="false" outlineLevel="0" collapsed="false">
      <c r="A14" s="0" t="s">
        <v>346</v>
      </c>
      <c r="B14" s="0" t="n">
        <v>1433675733</v>
      </c>
      <c r="C14" s="0" t="n">
        <v>1274531476</v>
      </c>
      <c r="D14" s="0" t="n">
        <v>1145613935</v>
      </c>
      <c r="E14" s="0" t="n">
        <v>963685834</v>
      </c>
    </row>
    <row r="15" customFormat="false" ht="15" hidden="false" customHeight="false" outlineLevel="0" collapsed="false">
      <c r="A15" s="0" t="s">
        <v>347</v>
      </c>
      <c r="B15" s="0" t="n">
        <v>3253557</v>
      </c>
      <c r="C15" s="0" t="n">
        <v>665676</v>
      </c>
      <c r="D15" s="0" t="n">
        <v>689262</v>
      </c>
      <c r="E15" s="0" t="n">
        <v>596268</v>
      </c>
    </row>
    <row r="16" customFormat="false" ht="15" hidden="false" customHeight="false" outlineLevel="0" collapsed="false">
      <c r="A16" s="0" t="s">
        <v>348</v>
      </c>
      <c r="B16" s="0" t="n">
        <v>1430422176</v>
      </c>
      <c r="C16" s="0" t="n">
        <v>1273865800</v>
      </c>
      <c r="D16" s="0" t="n">
        <v>1144924673</v>
      </c>
      <c r="E16" s="0" t="n">
        <v>963089566</v>
      </c>
    </row>
    <row r="17" customFormat="false" ht="15" hidden="false" customHeight="false" outlineLevel="0" collapsed="false">
      <c r="A17" s="0" t="s">
        <v>349</v>
      </c>
      <c r="B17" s="0" t="n">
        <v>485697</v>
      </c>
      <c r="C17" s="0" t="n">
        <v>363152</v>
      </c>
      <c r="D17" s="0" t="n">
        <v>10454589</v>
      </c>
      <c r="E17" s="0" t="n">
        <v>10645975</v>
      </c>
    </row>
    <row r="18" customFormat="false" ht="15" hidden="false" customHeight="false" outlineLevel="0" collapsed="false">
      <c r="A18" s="0" t="s">
        <v>350</v>
      </c>
      <c r="B18" s="0" t="n">
        <v>1396026833</v>
      </c>
      <c r="C18" s="0" t="n">
        <v>1241892552</v>
      </c>
      <c r="D18" s="0" t="n">
        <v>1032389113</v>
      </c>
      <c r="E18" s="0" t="n">
        <v>850362620</v>
      </c>
    </row>
    <row r="19" customFormat="false" ht="15" hidden="false" customHeight="false" outlineLevel="0" collapsed="false">
      <c r="A19" s="0" t="s">
        <v>351</v>
      </c>
      <c r="B19" s="0" t="n">
        <v>33909646</v>
      </c>
      <c r="C19" s="0" t="n">
        <v>31610096</v>
      </c>
      <c r="D19" s="0" t="n">
        <v>102080971</v>
      </c>
      <c r="E19" s="0" t="n">
        <v>102080971</v>
      </c>
    </row>
    <row r="20" customFormat="false" ht="15" hidden="false" customHeight="false" outlineLevel="0" collapsed="false">
      <c r="A20" s="0" t="s">
        <v>352</v>
      </c>
      <c r="B20" s="0" t="n">
        <v>33909646</v>
      </c>
      <c r="C20" s="0" t="n">
        <v>31610096</v>
      </c>
      <c r="D20" s="0" t="n">
        <v>102080971</v>
      </c>
      <c r="E20" s="0" t="n">
        <v>102080971</v>
      </c>
    </row>
    <row r="21" customFormat="false" ht="15" hidden="false" customHeight="false" outlineLevel="0" collapsed="false">
      <c r="A21" s="0" t="s">
        <v>353</v>
      </c>
      <c r="B21" s="0" t="n">
        <v>1840492164</v>
      </c>
      <c r="C21" s="0" t="n">
        <v>1561679262</v>
      </c>
      <c r="D21" s="0" t="n">
        <v>1513449237</v>
      </c>
      <c r="E21" s="0" t="n">
        <v>1475570059</v>
      </c>
    </row>
    <row r="22" customFormat="false" ht="15" hidden="false" customHeight="false" outlineLevel="0" collapsed="false">
      <c r="A22" s="0" t="s">
        <v>354</v>
      </c>
      <c r="B22" s="0" t="n">
        <v>1331788583</v>
      </c>
      <c r="C22" s="0" t="n">
        <v>1049063328</v>
      </c>
      <c r="D22" s="0" t="n">
        <v>267525022</v>
      </c>
      <c r="E22" s="0" t="n">
        <v>225378217</v>
      </c>
    </row>
    <row r="23" customFormat="false" ht="15" hidden="false" customHeight="false" outlineLevel="0" collapsed="false">
      <c r="A23" s="0" t="s">
        <v>355</v>
      </c>
      <c r="B23" s="0" t="n">
        <v>140000000</v>
      </c>
      <c r="C23" s="0" t="n">
        <v>211750000</v>
      </c>
      <c r="D23" s="0" t="n">
        <v>15051815</v>
      </c>
    </row>
    <row r="24" customFormat="false" ht="15" hidden="false" customHeight="false" outlineLevel="0" collapsed="false">
      <c r="A24" s="0" t="s">
        <v>356</v>
      </c>
      <c r="C24" s="0" t="n">
        <v>3026639</v>
      </c>
      <c r="D24" s="0" t="n">
        <v>3400451</v>
      </c>
    </row>
    <row r="25" customFormat="false" ht="15" hidden="false" customHeight="false" outlineLevel="0" collapsed="false">
      <c r="A25" s="0" t="s">
        <v>357</v>
      </c>
      <c r="B25" s="0" t="n">
        <v>366066389</v>
      </c>
      <c r="C25" s="0" t="n">
        <v>326017186</v>
      </c>
      <c r="D25" s="0" t="n">
        <v>267525022</v>
      </c>
      <c r="E25" s="0" t="n">
        <v>213834988</v>
      </c>
    </row>
    <row r="26" customFormat="false" ht="15" hidden="false" customHeight="false" outlineLevel="0" collapsed="false">
      <c r="A26" s="0" t="s">
        <v>358</v>
      </c>
      <c r="B26" s="0" t="n">
        <v>965722194</v>
      </c>
      <c r="C26" s="0" t="n">
        <v>723046142</v>
      </c>
      <c r="D26" s="0" t="n">
        <v>884011401</v>
      </c>
      <c r="E26" s="0" t="n">
        <v>11543229</v>
      </c>
    </row>
    <row r="27" customFormat="false" ht="15" hidden="false" customHeight="false" outlineLevel="0" collapsed="false">
      <c r="A27" s="0" t="s">
        <v>359</v>
      </c>
      <c r="C27" s="0" t="n">
        <v>22921712</v>
      </c>
      <c r="D27" s="0" t="n">
        <v>7649074</v>
      </c>
      <c r="E27" s="0" t="n">
        <v>11543229</v>
      </c>
    </row>
    <row r="28" customFormat="false" ht="15" hidden="false" customHeight="false" outlineLevel="0" collapsed="false">
      <c r="A28" s="0" t="s">
        <v>360</v>
      </c>
      <c r="B28" s="0" t="n">
        <v>965722194</v>
      </c>
      <c r="C28" s="0" t="n">
        <v>723046142</v>
      </c>
      <c r="D28" s="0" t="n">
        <v>876362327</v>
      </c>
    </row>
    <row r="29" customFormat="false" ht="15" hidden="false" customHeight="false" outlineLevel="0" collapsed="false">
      <c r="A29" s="0" t="s">
        <v>361</v>
      </c>
      <c r="B29" s="0" t="n">
        <v>508703581</v>
      </c>
      <c r="C29" s="0" t="n">
        <v>512615934</v>
      </c>
      <c r="D29" s="0" t="n">
        <v>1245924215</v>
      </c>
      <c r="E29" s="0" t="n">
        <v>1250191842</v>
      </c>
    </row>
    <row r="30" customFormat="false" ht="15" hidden="false" customHeight="false" outlineLevel="0" collapsed="false">
      <c r="A30" s="0" t="s">
        <v>362</v>
      </c>
      <c r="B30" s="0" t="n">
        <v>631803</v>
      </c>
      <c r="C30" s="0" t="n">
        <v>678439</v>
      </c>
      <c r="D30" s="0" t="n">
        <v>12863856</v>
      </c>
      <c r="E30" s="0" t="n">
        <v>53710783</v>
      </c>
    </row>
    <row r="31" customFormat="false" ht="15" hidden="false" customHeight="false" outlineLevel="0" collapsed="false">
      <c r="A31" s="0" t="s">
        <v>363</v>
      </c>
      <c r="B31" s="0" t="n">
        <v>162925880</v>
      </c>
      <c r="C31" s="0" t="n">
        <v>236491667</v>
      </c>
      <c r="D31" s="0" t="n">
        <v>876362327</v>
      </c>
      <c r="E31" s="0" t="n">
        <v>842141381</v>
      </c>
    </row>
    <row r="32" customFormat="false" ht="15" hidden="false" customHeight="false" outlineLevel="0" collapsed="false">
      <c r="A32" s="0" t="s">
        <v>364</v>
      </c>
      <c r="B32" s="0" t="n">
        <v>22925880</v>
      </c>
      <c r="C32" s="0" t="n">
        <v>24741667</v>
      </c>
      <c r="D32" s="0" t="n">
        <v>3894155</v>
      </c>
      <c r="E32" s="0" t="n">
        <v>3073609</v>
      </c>
    </row>
    <row r="33" customFormat="false" ht="15" hidden="false" customHeight="false" outlineLevel="0" collapsed="false">
      <c r="A33" s="0" t="s">
        <v>365</v>
      </c>
      <c r="B33" s="0" t="n">
        <v>965722194</v>
      </c>
      <c r="C33" s="0" t="n">
        <v>211750000</v>
      </c>
      <c r="D33" s="0" t="n">
        <v>876362327</v>
      </c>
      <c r="E33" s="0" t="n">
        <v>839067772</v>
      </c>
    </row>
    <row r="34" customFormat="false" ht="15" hidden="false" customHeight="false" outlineLevel="0" collapsed="false">
      <c r="A34" s="0" t="s">
        <v>366</v>
      </c>
      <c r="B34" s="0" t="n">
        <v>3258397</v>
      </c>
      <c r="C34" s="0" t="n">
        <v>3026639</v>
      </c>
      <c r="D34" s="0" t="n">
        <v>3400451</v>
      </c>
      <c r="E34" s="0" t="n">
        <v>4828765</v>
      </c>
    </row>
    <row r="35" customFormat="false" ht="15" hidden="false" customHeight="false" outlineLevel="0" collapsed="false">
      <c r="A35" s="0" t="s">
        <v>367</v>
      </c>
      <c r="D35" s="0" t="n">
        <v>2187959</v>
      </c>
      <c r="E35" s="0" t="n">
        <v>2259974</v>
      </c>
    </row>
    <row r="36" customFormat="false" ht="15" hidden="false" customHeight="false" outlineLevel="0" collapsed="false">
      <c r="A36" s="0" t="s">
        <v>368</v>
      </c>
      <c r="B36" s="0" t="n">
        <v>241226546</v>
      </c>
      <c r="C36" s="0" t="n">
        <v>162092113</v>
      </c>
      <c r="D36" s="0" t="n">
        <v>369561888</v>
      </c>
      <c r="E36" s="0" t="n">
        <v>224684601</v>
      </c>
    </row>
    <row r="37" customFormat="false" ht="15" hidden="false" customHeight="false" outlineLevel="0" collapsed="false">
      <c r="A37" s="0" t="s">
        <v>369</v>
      </c>
      <c r="B37" s="0" t="n">
        <v>16985905</v>
      </c>
      <c r="C37" s="0" t="n">
        <v>28130037</v>
      </c>
      <c r="D37" s="0" t="n">
        <v>20556592</v>
      </c>
      <c r="E37" s="0" t="n">
        <v>20928996</v>
      </c>
    </row>
    <row r="38" customFormat="false" ht="15" hidden="false" customHeight="false" outlineLevel="0" collapsed="false">
      <c r="A38" s="0" t="s">
        <v>370</v>
      </c>
      <c r="E38" s="0" t="n">
        <v>0</v>
      </c>
    </row>
    <row r="39" customFormat="false" ht="15" hidden="false" customHeight="false" outlineLevel="0" collapsed="false">
      <c r="A39" s="0" t="s">
        <v>371</v>
      </c>
      <c r="B39" s="0" t="n">
        <v>789669</v>
      </c>
      <c r="C39" s="0" t="n">
        <v>17943095</v>
      </c>
      <c r="D39" s="0" t="n">
        <v>633442</v>
      </c>
      <c r="E39" s="0" t="n">
        <v>18194642</v>
      </c>
    </row>
    <row r="40" customFormat="false" ht="15" hidden="false" customHeight="false" outlineLevel="0" collapsed="false">
      <c r="A40" s="0" t="s">
        <v>372</v>
      </c>
      <c r="B40" s="0" t="n">
        <v>223450972</v>
      </c>
      <c r="C40" s="0" t="n">
        <v>116018981</v>
      </c>
      <c r="D40" s="0" t="n">
        <v>368928446</v>
      </c>
      <c r="E40" s="0" t="n">
        <v>185560963</v>
      </c>
    </row>
    <row r="41" customFormat="false" ht="15" hidden="false" customHeight="false" outlineLevel="0" collapsed="false">
      <c r="B41" s="147" t="n">
        <v>45716</v>
      </c>
    </row>
    <row r="42" customFormat="false" ht="15" hidden="false" customHeight="false" outlineLevel="0" collapsed="false">
      <c r="A42" s="0" t="s">
        <v>373</v>
      </c>
      <c r="B42" s="0" t="n">
        <v>3274167897</v>
      </c>
      <c r="C42" s="0" t="n">
        <v>2836210738</v>
      </c>
      <c r="D42" s="0" t="n">
        <v>2659063172</v>
      </c>
      <c r="E42" s="0" t="n">
        <v>2439255893</v>
      </c>
    </row>
    <row r="43" customFormat="false" ht="15" hidden="false" customHeight="false" outlineLevel="0" collapsed="false">
      <c r="A43" s="0" t="s">
        <v>374</v>
      </c>
      <c r="B43" s="0" t="n">
        <v>1391962650</v>
      </c>
      <c r="C43" s="0" t="n">
        <v>1158326713</v>
      </c>
      <c r="D43" s="0" t="n">
        <v>289668741</v>
      </c>
      <c r="E43" s="0" t="n">
        <v>291507384</v>
      </c>
    </row>
    <row r="44" customFormat="false" ht="15" hidden="false" customHeight="false" outlineLevel="0" collapsed="false">
      <c r="A44" s="0" t="s">
        <v>375</v>
      </c>
      <c r="C44" s="0" t="n">
        <v>434736127</v>
      </c>
      <c r="D44" s="0" t="n">
        <v>449464431</v>
      </c>
    </row>
    <row r="45" customFormat="false" ht="15" hidden="false" customHeight="false" outlineLevel="0" collapsed="false">
      <c r="A45" s="0" t="s">
        <v>376</v>
      </c>
      <c r="B45" s="0" t="n">
        <v>11363028</v>
      </c>
      <c r="C45" s="0" t="n">
        <v>15681504</v>
      </c>
      <c r="D45" s="0" t="n">
        <v>26500218</v>
      </c>
      <c r="E45" s="0" t="n">
        <v>31695226</v>
      </c>
    </row>
    <row r="46" customFormat="false" ht="15" hidden="false" customHeight="false" outlineLevel="0" collapsed="false">
      <c r="A46" s="0" t="s">
        <v>377</v>
      </c>
      <c r="B46" s="0" t="n">
        <v>19196470</v>
      </c>
      <c r="C46" s="0" t="n">
        <v>16769513</v>
      </c>
      <c r="D46" s="0" t="n">
        <v>14894959</v>
      </c>
    </row>
    <row r="47" customFormat="false" ht="15" hidden="false" customHeight="false" outlineLevel="0" collapsed="false">
      <c r="A47" s="0" t="s">
        <v>378</v>
      </c>
      <c r="C47" s="0" t="n">
        <v>16769513</v>
      </c>
      <c r="D47" s="0" t="n">
        <v>14894959</v>
      </c>
      <c r="E47" s="0" t="n">
        <v>13927808</v>
      </c>
    </row>
    <row r="48" customFormat="false" ht="15" hidden="false" customHeight="false" outlineLevel="0" collapsed="false">
      <c r="A48" s="0" t="s">
        <v>379</v>
      </c>
      <c r="C48" s="0" t="n">
        <v>16769513</v>
      </c>
      <c r="D48" s="0" t="n">
        <v>14894959</v>
      </c>
      <c r="E48" s="0" t="n">
        <v>13927808</v>
      </c>
    </row>
    <row r="49" customFormat="false" ht="15" hidden="false" customHeight="false" outlineLevel="0" collapsed="false">
      <c r="A49" s="0" t="s">
        <v>380</v>
      </c>
      <c r="B49" s="0" t="n">
        <v>136610054</v>
      </c>
      <c r="C49" s="0" t="n">
        <v>68321244</v>
      </c>
      <c r="D49" s="0" t="n">
        <v>51991549</v>
      </c>
      <c r="E49" s="0" t="n">
        <v>46604624</v>
      </c>
    </row>
    <row r="50" customFormat="false" ht="15" hidden="false" customHeight="false" outlineLevel="0" collapsed="false">
      <c r="A50" s="0" t="s">
        <v>381</v>
      </c>
      <c r="B50" s="0" t="n">
        <v>136610054</v>
      </c>
      <c r="C50" s="0" t="n">
        <v>68321244</v>
      </c>
      <c r="D50" s="0" t="n">
        <v>51991549</v>
      </c>
      <c r="E50" s="0" t="n">
        <v>46604624</v>
      </c>
    </row>
    <row r="51" customFormat="false" ht="15" hidden="false" customHeight="false" outlineLevel="0" collapsed="false">
      <c r="A51" s="0" t="s">
        <v>382</v>
      </c>
      <c r="B51" s="0" t="n">
        <v>22492889</v>
      </c>
      <c r="C51" s="0" t="n">
        <v>22147091</v>
      </c>
      <c r="D51" s="0" t="n">
        <v>19947022</v>
      </c>
      <c r="E51" s="0" t="n">
        <v>19947022</v>
      </c>
    </row>
    <row r="52" customFormat="false" ht="15" hidden="false" customHeight="false" outlineLevel="0" collapsed="false">
      <c r="A52" s="0" t="s">
        <v>383</v>
      </c>
      <c r="B52" s="0" t="n">
        <v>159650517</v>
      </c>
      <c r="C52" s="0" t="n">
        <v>159650534</v>
      </c>
      <c r="D52" s="0" t="n">
        <v>159650534</v>
      </c>
      <c r="E52" s="0" t="n">
        <v>159650534</v>
      </c>
    </row>
    <row r="53" customFormat="false" ht="15" hidden="false" customHeight="false" outlineLevel="0" collapsed="false">
      <c r="A53" s="0" t="s">
        <v>384</v>
      </c>
      <c r="C53" s="0" t="n">
        <v>17</v>
      </c>
      <c r="D53" s="0" t="n">
        <v>17</v>
      </c>
      <c r="E53" s="0" t="n">
        <v>17</v>
      </c>
    </row>
    <row r="54" customFormat="false" ht="15" hidden="false" customHeight="false" outlineLevel="0" collapsed="false">
      <c r="A54" s="0" t="s">
        <v>385</v>
      </c>
      <c r="B54" s="0" t="n">
        <v>159650517</v>
      </c>
      <c r="C54" s="0" t="n">
        <v>159650517</v>
      </c>
      <c r="D54" s="0" t="n">
        <v>159650517</v>
      </c>
      <c r="E54" s="0" t="n">
        <v>159650517</v>
      </c>
    </row>
    <row r="55" customFormat="false" ht="15" hidden="false" customHeight="false" outlineLevel="0" collapsed="false">
      <c r="A55" s="0" t="s">
        <v>386</v>
      </c>
      <c r="B55" s="0" t="n">
        <v>25945117</v>
      </c>
      <c r="C55" s="0" t="n">
        <v>29188675</v>
      </c>
      <c r="D55" s="0" t="n">
        <v>16684459</v>
      </c>
      <c r="E55" s="0" t="n">
        <v>19682170</v>
      </c>
    </row>
    <row r="56" customFormat="false" ht="15" hidden="false" customHeight="false" outlineLevel="0" collapsed="false">
      <c r="A56" s="0" t="s">
        <v>387</v>
      </c>
      <c r="B56" s="0" t="n">
        <v>-22159924</v>
      </c>
      <c r="C56" s="0" t="n">
        <v>-24704318</v>
      </c>
      <c r="D56" s="0" t="n">
        <v>-20652283</v>
      </c>
      <c r="E56" s="0" t="n">
        <v>-17097528</v>
      </c>
    </row>
    <row r="57" customFormat="false" ht="15" hidden="false" customHeight="false" outlineLevel="0" collapsed="false">
      <c r="A57" s="0" t="s">
        <v>388</v>
      </c>
      <c r="B57" s="0" t="n">
        <v>48105041</v>
      </c>
      <c r="C57" s="0" t="n">
        <v>53892993</v>
      </c>
      <c r="D57" s="0" t="n">
        <v>37336742</v>
      </c>
      <c r="E57" s="0" t="n">
        <v>36779698</v>
      </c>
    </row>
    <row r="58" customFormat="false" ht="15" hidden="false" customHeight="false" outlineLevel="0" collapsed="false">
      <c r="A58" s="0" t="s">
        <v>389</v>
      </c>
      <c r="B58" s="0" t="n">
        <v>2055790</v>
      </c>
      <c r="C58" s="0" t="n">
        <v>4986085</v>
      </c>
      <c r="D58" s="0" t="n">
        <v>4347514</v>
      </c>
      <c r="E58" s="0" t="n">
        <v>3363382</v>
      </c>
    </row>
    <row r="59" customFormat="false" ht="15" hidden="false" customHeight="false" outlineLevel="0" collapsed="false">
      <c r="A59" s="0" t="s">
        <v>390</v>
      </c>
      <c r="B59" s="0" t="n">
        <v>3471401</v>
      </c>
      <c r="C59" s="0" t="n">
        <v>6329058</v>
      </c>
      <c r="D59" s="0" t="n">
        <v>6244921</v>
      </c>
      <c r="E59" s="0" t="n">
        <v>6672009</v>
      </c>
    </row>
    <row r="60" customFormat="false" ht="15" hidden="false" customHeight="false" outlineLevel="0" collapsed="false">
      <c r="A60" s="0" t="s">
        <v>391</v>
      </c>
      <c r="B60" s="0" t="n">
        <v>35680416</v>
      </c>
      <c r="C60" s="0" t="n">
        <v>35680416</v>
      </c>
      <c r="D60" s="0" t="n">
        <v>19846873</v>
      </c>
      <c r="E60" s="0" t="n">
        <v>19846873</v>
      </c>
    </row>
    <row r="61" customFormat="false" ht="15" hidden="false" customHeight="false" outlineLevel="0" collapsed="false">
      <c r="A61" s="0" t="s">
        <v>392</v>
      </c>
      <c r="B61" s="0" t="n">
        <v>6897434</v>
      </c>
      <c r="C61" s="0" t="n">
        <v>6897434</v>
      </c>
      <c r="D61" s="0" t="n">
        <v>6897434</v>
      </c>
      <c r="E61" s="0" t="n">
        <v>6897434</v>
      </c>
    </row>
    <row r="62" customFormat="false" ht="15" hidden="false" customHeight="false" outlineLevel="0" collapsed="false">
      <c r="A62" s="0" t="s">
        <v>393</v>
      </c>
      <c r="B62" s="0" t="n">
        <v>0</v>
      </c>
      <c r="C62" s="0" t="n">
        <v>0</v>
      </c>
      <c r="D62" s="0" t="n">
        <v>0</v>
      </c>
      <c r="E62" s="0" t="n">
        <v>0</v>
      </c>
    </row>
    <row r="63" customFormat="false" ht="15" hidden="false" customHeight="false" outlineLevel="0" collapsed="false">
      <c r="A63" s="0" t="s">
        <v>394</v>
      </c>
      <c r="B63" s="0" t="n">
        <v>1882205247</v>
      </c>
      <c r="C63" s="0" t="n">
        <v>1677884025</v>
      </c>
      <c r="D63" s="0" t="n">
        <v>2369394431</v>
      </c>
      <c r="E63" s="0" t="n">
        <v>2147748509</v>
      </c>
    </row>
    <row r="64" customFormat="false" ht="15" hidden="false" customHeight="false" outlineLevel="0" collapsed="false">
      <c r="A64" s="0" t="s">
        <v>395</v>
      </c>
      <c r="C64" s="0" t="n">
        <v>664584</v>
      </c>
      <c r="D64" s="0" t="n">
        <v>827068</v>
      </c>
      <c r="E64" s="0" t="n">
        <v>1236985</v>
      </c>
    </row>
    <row r="65" customFormat="false" ht="15" hidden="false" customHeight="false" outlineLevel="0" collapsed="false">
      <c r="A65" s="0" t="s">
        <v>396</v>
      </c>
      <c r="B65" s="0" t="n">
        <v>519568023</v>
      </c>
      <c r="C65" s="0" t="n">
        <v>503385249</v>
      </c>
      <c r="D65" s="0" t="n">
        <v>498540794</v>
      </c>
      <c r="E65" s="0" t="n">
        <v>615819830</v>
      </c>
    </row>
    <row r="66" customFormat="false" ht="15" hidden="false" customHeight="false" outlineLevel="0" collapsed="false">
      <c r="A66" s="0" t="s">
        <v>397</v>
      </c>
      <c r="B66" s="0" t="n">
        <v>519568023</v>
      </c>
      <c r="C66" s="0" t="n">
        <v>503385249</v>
      </c>
      <c r="D66" s="0" t="n">
        <v>49076363</v>
      </c>
      <c r="E66" s="0" t="n">
        <v>615819830</v>
      </c>
    </row>
    <row r="67" customFormat="false" ht="15" hidden="false" customHeight="false" outlineLevel="0" collapsed="false">
      <c r="A67" s="0" t="s">
        <v>398</v>
      </c>
      <c r="B67" s="0" t="n">
        <v>1131484310</v>
      </c>
      <c r="C67" s="0" t="n">
        <v>937123620</v>
      </c>
      <c r="D67" s="0" t="n">
        <v>1533866268</v>
      </c>
      <c r="E67" s="0" t="n">
        <v>1247023152</v>
      </c>
    </row>
    <row r="68" customFormat="false" ht="15" hidden="false" customHeight="false" outlineLevel="0" collapsed="false">
      <c r="A68" s="0" t="s">
        <v>399</v>
      </c>
      <c r="B68" s="0" t="n">
        <v>288717</v>
      </c>
      <c r="C68" s="0" t="n">
        <v>212247</v>
      </c>
      <c r="D68" s="0" t="n">
        <v>362290</v>
      </c>
      <c r="E68" s="0" t="n">
        <v>31806097</v>
      </c>
    </row>
    <row r="69" customFormat="false" ht="15" hidden="false" customHeight="false" outlineLevel="0" collapsed="false">
      <c r="A69" s="0" t="s">
        <v>400</v>
      </c>
      <c r="B69" s="0" t="n">
        <v>76141662</v>
      </c>
      <c r="C69" s="0" t="n">
        <v>114524888</v>
      </c>
      <c r="D69" s="0" t="n">
        <v>164010749</v>
      </c>
      <c r="E69" s="0" t="n">
        <v>60748196</v>
      </c>
    </row>
    <row r="70" customFormat="false" ht="15" hidden="false" customHeight="false" outlineLevel="0" collapsed="false">
      <c r="A70" s="0" t="s">
        <v>401</v>
      </c>
      <c r="B70" s="0" t="n">
        <v>154722535</v>
      </c>
      <c r="C70" s="0" t="n">
        <v>122638021</v>
      </c>
      <c r="D70" s="0" t="n">
        <v>172614330</v>
      </c>
      <c r="E70" s="0" t="n">
        <v>191114249</v>
      </c>
    </row>
    <row r="71" customFormat="false" ht="15" hidden="false" customHeight="false" outlineLevel="0" collapsed="false">
      <c r="A71" s="0" t="s">
        <v>402</v>
      </c>
      <c r="B71" s="0" t="n">
        <v>154722535</v>
      </c>
      <c r="C71" s="0" t="n">
        <v>122638021</v>
      </c>
      <c r="D71" s="0" t="n">
        <v>172614330</v>
      </c>
      <c r="E71" s="0" t="n">
        <v>191114249</v>
      </c>
    </row>
    <row r="72" customFormat="false" ht="15" hidden="false" customHeight="false" outlineLevel="0" collapsed="false">
      <c r="A72" s="0" t="s">
        <v>403</v>
      </c>
      <c r="C72" s="0" t="n">
        <v>122638021</v>
      </c>
      <c r="D72" s="0" t="n">
        <v>172614330</v>
      </c>
      <c r="E72" s="0" t="n">
        <v>191114249</v>
      </c>
    </row>
    <row r="74" customFormat="false" ht="15" hidden="false" customHeight="false" outlineLevel="0" collapsed="false">
      <c r="A74" s="0" t="s">
        <v>404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false" showOutlineSymbols="true" defaultGridColor="true" view="normal" topLeftCell="A5" colorId="64" zoomScale="73" zoomScaleNormal="73" zoomScalePageLayoutView="100" workbookViewId="0">
      <selection pane="topLeft" activeCell="A5" activeCellId="0" sqref="A5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0" t="s">
        <v>330</v>
      </c>
      <c r="C1" s="0" t="s">
        <v>331</v>
      </c>
      <c r="D1" s="0" t="s">
        <v>332</v>
      </c>
      <c r="E1" s="0" t="s">
        <v>333</v>
      </c>
    </row>
    <row r="2" customFormat="false" ht="15" hidden="false" customHeight="false" outlineLevel="0" collapsed="false">
      <c r="A2" s="0" t="s">
        <v>405</v>
      </c>
      <c r="B2" s="0" t="n">
        <v>33256027</v>
      </c>
      <c r="C2" s="0" t="n">
        <v>90540546</v>
      </c>
      <c r="D2" s="0" t="n">
        <v>870531</v>
      </c>
      <c r="E2" s="0" t="n">
        <v>128699620</v>
      </c>
    </row>
    <row r="3" customFormat="false" ht="15" hidden="false" customHeight="false" outlineLevel="0" collapsed="false">
      <c r="A3" s="0" t="s">
        <v>406</v>
      </c>
      <c r="B3" s="0" t="n">
        <v>0</v>
      </c>
      <c r="C3" s="0" t="n">
        <v>-73016275</v>
      </c>
      <c r="D3" s="0" t="n">
        <v>0</v>
      </c>
      <c r="E3" s="0" t="n">
        <v>-9085714</v>
      </c>
    </row>
    <row r="4" customFormat="false" ht="15" hidden="false" customHeight="false" outlineLevel="0" collapsed="false">
      <c r="A4" s="0" t="s">
        <v>407</v>
      </c>
      <c r="B4" s="0" t="n">
        <v>-158000000</v>
      </c>
      <c r="C4" s="0" t="n">
        <v>-232800000</v>
      </c>
      <c r="D4" s="0" t="n">
        <v>-194800000</v>
      </c>
      <c r="E4" s="0" t="n">
        <v>-107400000</v>
      </c>
    </row>
    <row r="5" customFormat="false" ht="15" hidden="false" customHeight="false" outlineLevel="0" collapsed="false">
      <c r="A5" s="0" t="s">
        <v>408</v>
      </c>
      <c r="B5" s="0" t="n">
        <v>305000000</v>
      </c>
      <c r="C5" s="0" t="n">
        <v>288000000</v>
      </c>
      <c r="D5" s="0" t="n">
        <v>230000000</v>
      </c>
      <c r="E5" s="0" t="n">
        <v>0</v>
      </c>
    </row>
    <row r="6" customFormat="false" ht="15" hidden="false" customHeight="false" outlineLevel="0" collapsed="false">
      <c r="A6" s="0" t="s">
        <v>409</v>
      </c>
      <c r="B6" s="0" t="n">
        <v>-972384</v>
      </c>
      <c r="C6" s="0" t="n">
        <v>-722708</v>
      </c>
      <c r="D6" s="0" t="n">
        <v>-1199014</v>
      </c>
      <c r="E6" s="0" t="n">
        <v>-1182125</v>
      </c>
    </row>
    <row r="7" customFormat="false" ht="15" hidden="false" customHeight="false" outlineLevel="0" collapsed="false">
      <c r="A7" s="0" t="s">
        <v>410</v>
      </c>
      <c r="B7" s="0" t="n">
        <v>154722535</v>
      </c>
      <c r="C7" s="0" t="n">
        <v>122638021</v>
      </c>
      <c r="D7" s="0" t="n">
        <v>172614330</v>
      </c>
      <c r="E7" s="0" t="n">
        <v>191114249</v>
      </c>
    </row>
    <row r="8" customFormat="false" ht="15" hidden="false" customHeight="false" outlineLevel="0" collapsed="false">
      <c r="A8" s="0" t="s">
        <v>411</v>
      </c>
      <c r="B8" s="0" t="n">
        <v>122638021</v>
      </c>
      <c r="C8" s="0" t="n">
        <v>172614330</v>
      </c>
      <c r="D8" s="0" t="n">
        <v>191114249</v>
      </c>
      <c r="E8" s="0" t="n">
        <v>154561255</v>
      </c>
    </row>
    <row r="9" customFormat="false" ht="15" hidden="false" customHeight="false" outlineLevel="0" collapsed="false">
      <c r="A9" s="0" t="s">
        <v>412</v>
      </c>
      <c r="B9" s="0" t="n">
        <v>32084514</v>
      </c>
      <c r="C9" s="0" t="n">
        <v>-49976309</v>
      </c>
      <c r="D9" s="0" t="n">
        <v>-18499919</v>
      </c>
      <c r="E9" s="0" t="n">
        <v>36552994</v>
      </c>
    </row>
    <row r="10" customFormat="false" ht="15" hidden="false" customHeight="false" outlineLevel="0" collapsed="false">
      <c r="A10" s="0" t="s">
        <v>413</v>
      </c>
      <c r="B10" s="0" t="n">
        <v>131273997</v>
      </c>
      <c r="C10" s="0" t="n">
        <v>-20364903</v>
      </c>
      <c r="D10" s="0" t="n">
        <v>32126391</v>
      </c>
      <c r="E10" s="0" t="n">
        <v>-118864060</v>
      </c>
    </row>
    <row r="11" customFormat="false" ht="15" hidden="false" customHeight="false" outlineLevel="0" collapsed="false">
      <c r="A11" s="0" t="s">
        <v>414</v>
      </c>
      <c r="E11" s="0" t="n">
        <v>-9085714</v>
      </c>
    </row>
    <row r="12" customFormat="false" ht="15" hidden="false" customHeight="false" outlineLevel="0" collapsed="false">
      <c r="A12" s="0" t="s">
        <v>415</v>
      </c>
      <c r="B12" s="0" t="n">
        <v>-10857999</v>
      </c>
    </row>
    <row r="13" customFormat="false" ht="15" hidden="false" customHeight="false" outlineLevel="0" collapsed="false">
      <c r="A13" s="0" t="s">
        <v>416</v>
      </c>
      <c r="B13" s="0" t="n">
        <v>0</v>
      </c>
      <c r="C13" s="0" t="n">
        <v>-73016275</v>
      </c>
      <c r="D13" s="0" t="n">
        <v>0</v>
      </c>
      <c r="E13" s="0" t="n">
        <v>-9085714</v>
      </c>
    </row>
    <row r="14" customFormat="false" ht="15" hidden="false" customHeight="false" outlineLevel="0" collapsed="false">
      <c r="A14" s="0" t="s">
        <v>417</v>
      </c>
      <c r="B14" s="0" t="n">
        <v>0</v>
      </c>
      <c r="C14" s="0" t="n">
        <v>-73016275</v>
      </c>
      <c r="D14" s="0" t="n">
        <v>0</v>
      </c>
      <c r="E14" s="0" t="n">
        <v>-9085714</v>
      </c>
    </row>
    <row r="15" customFormat="false" ht="15" hidden="false" customHeight="false" outlineLevel="0" collapsed="false">
      <c r="A15" s="0" t="s">
        <v>418</v>
      </c>
      <c r="B15" s="0" t="n">
        <v>147000000</v>
      </c>
      <c r="C15" s="0" t="n">
        <v>55200000</v>
      </c>
      <c r="D15" s="0" t="n">
        <v>35200000</v>
      </c>
      <c r="E15" s="0" t="n">
        <v>-107400000</v>
      </c>
    </row>
    <row r="16" customFormat="false" ht="15" hidden="false" customHeight="false" outlineLevel="0" collapsed="false">
      <c r="A16" s="0" t="s">
        <v>419</v>
      </c>
      <c r="B16" s="0" t="n">
        <v>147000000</v>
      </c>
      <c r="C16" s="0" t="n">
        <v>55200000</v>
      </c>
      <c r="D16" s="0" t="n">
        <v>35200000</v>
      </c>
      <c r="E16" s="0" t="n">
        <v>-107400000</v>
      </c>
    </row>
    <row r="17" customFormat="false" ht="15" hidden="false" customHeight="false" outlineLevel="0" collapsed="false">
      <c r="A17" s="0" t="s">
        <v>420</v>
      </c>
      <c r="B17" s="0" t="n">
        <v>-158000000</v>
      </c>
      <c r="C17" s="0" t="n">
        <v>-232800000</v>
      </c>
      <c r="D17" s="0" t="n">
        <v>-194800000</v>
      </c>
      <c r="E17" s="0" t="n">
        <v>-107400000</v>
      </c>
    </row>
    <row r="18" customFormat="false" ht="15" hidden="false" customHeight="false" outlineLevel="0" collapsed="false">
      <c r="A18" s="0" t="s">
        <v>421</v>
      </c>
      <c r="B18" s="0" t="n">
        <v>305000000</v>
      </c>
      <c r="C18" s="0" t="n">
        <v>288000000</v>
      </c>
      <c r="D18" s="0" t="n">
        <v>230000000</v>
      </c>
      <c r="E18" s="0" t="n">
        <v>0</v>
      </c>
    </row>
    <row r="19" customFormat="false" ht="15" hidden="false" customHeight="false" outlineLevel="0" collapsed="false">
      <c r="A19" s="0" t="s">
        <v>422</v>
      </c>
      <c r="B19" s="0" t="n">
        <v>-133417894</v>
      </c>
      <c r="C19" s="0" t="n">
        <v>-120874660</v>
      </c>
      <c r="D19" s="0" t="n">
        <v>-52695855</v>
      </c>
      <c r="E19" s="0" t="n">
        <v>25535309</v>
      </c>
    </row>
    <row r="20" customFormat="false" ht="15" hidden="false" customHeight="false" outlineLevel="0" collapsed="false">
      <c r="A20" s="0" t="s">
        <v>423</v>
      </c>
      <c r="D20" s="0" t="n">
        <v>0</v>
      </c>
      <c r="E20" s="0" t="n">
        <v>-286383</v>
      </c>
    </row>
    <row r="21" customFormat="false" ht="15" hidden="false" customHeight="false" outlineLevel="0" collapsed="false">
      <c r="A21" s="0" t="s">
        <v>424</v>
      </c>
      <c r="D21" s="0" t="n">
        <v>0</v>
      </c>
      <c r="E21" s="0" t="n">
        <v>-286383</v>
      </c>
    </row>
    <row r="22" customFormat="false" ht="15" hidden="false" customHeight="false" outlineLevel="0" collapsed="false">
      <c r="A22" s="0" t="s">
        <v>425</v>
      </c>
      <c r="E22" s="0" t="n">
        <v>0</v>
      </c>
    </row>
    <row r="23" customFormat="false" ht="15" hidden="false" customHeight="false" outlineLevel="0" collapsed="false">
      <c r="A23" s="0" t="s">
        <v>426</v>
      </c>
      <c r="E23" s="0" t="n">
        <v>0</v>
      </c>
    </row>
    <row r="24" customFormat="false" ht="15" hidden="false" customHeight="false" outlineLevel="0" collapsed="false">
      <c r="A24" s="0" t="s">
        <v>427</v>
      </c>
      <c r="B24" s="0" t="n">
        <v>-13200000</v>
      </c>
      <c r="C24" s="0" t="n">
        <v>-6900000</v>
      </c>
      <c r="D24" s="0" t="n">
        <v>0</v>
      </c>
      <c r="E24" s="0" t="n">
        <v>500</v>
      </c>
    </row>
    <row r="25" customFormat="false" ht="15" hidden="false" customHeight="false" outlineLevel="0" collapsed="false">
      <c r="A25" s="0" t="s">
        <v>428</v>
      </c>
      <c r="D25" s="0" t="n">
        <v>0</v>
      </c>
      <c r="E25" s="0" t="n">
        <v>500</v>
      </c>
    </row>
    <row r="26" customFormat="false" ht="15" hidden="false" customHeight="false" outlineLevel="0" collapsed="false">
      <c r="A26" s="0" t="s">
        <v>429</v>
      </c>
      <c r="B26" s="0" t="n">
        <v>-13200000</v>
      </c>
      <c r="C26" s="0" t="n">
        <v>-6900000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0" t="s">
        <v>430</v>
      </c>
      <c r="B27" s="0" t="n">
        <v>-972384</v>
      </c>
      <c r="C27" s="0" t="n">
        <v>-722708</v>
      </c>
      <c r="D27" s="0" t="n">
        <v>-743150</v>
      </c>
      <c r="E27" s="0" t="n">
        <v>-1182125</v>
      </c>
    </row>
    <row r="28" customFormat="false" ht="15" hidden="false" customHeight="false" outlineLevel="0" collapsed="false">
      <c r="A28" s="0" t="s">
        <v>431</v>
      </c>
      <c r="C28" s="0" t="n">
        <v>0</v>
      </c>
      <c r="D28" s="0" t="n">
        <v>455864</v>
      </c>
      <c r="E28" s="0" t="n">
        <v>0</v>
      </c>
    </row>
    <row r="29" customFormat="false" ht="15" hidden="false" customHeight="false" outlineLevel="0" collapsed="false">
      <c r="A29" s="0" t="s">
        <v>432</v>
      </c>
      <c r="B29" s="0" t="n">
        <v>-972384</v>
      </c>
      <c r="C29" s="0" t="n">
        <v>-722708</v>
      </c>
      <c r="D29" s="0" t="n">
        <v>-1199014</v>
      </c>
      <c r="E29" s="0" t="n">
        <v>-1182125</v>
      </c>
    </row>
    <row r="30" customFormat="false" ht="15" hidden="false" customHeight="false" outlineLevel="0" collapsed="false">
      <c r="A30" s="0" t="s">
        <v>433</v>
      </c>
      <c r="B30" s="0" t="n">
        <v>34228411</v>
      </c>
      <c r="C30" s="0" t="n">
        <v>91263254</v>
      </c>
      <c r="D30" s="0" t="n">
        <v>2069545</v>
      </c>
      <c r="E30" s="0" t="n">
        <v>129881745</v>
      </c>
    </row>
    <row r="31" customFormat="false" ht="15" hidden="false" customHeight="false" outlineLevel="0" collapsed="false">
      <c r="A31" s="0" t="s">
        <v>434</v>
      </c>
      <c r="B31" s="0" t="n">
        <v>-2659727</v>
      </c>
      <c r="C31" s="0" t="n">
        <v>-3487918</v>
      </c>
      <c r="D31" s="0" t="n">
        <v>-5197841</v>
      </c>
      <c r="E31" s="0" t="n">
        <v>-18022488</v>
      </c>
    </row>
    <row r="32" customFormat="false" ht="15" hidden="false" customHeight="false" outlineLevel="0" collapsed="false">
      <c r="A32" s="0" t="s">
        <v>435</v>
      </c>
      <c r="B32" s="0" t="n">
        <v>63092531</v>
      </c>
      <c r="C32" s="0" t="n">
        <v>56905547</v>
      </c>
      <c r="D32" s="0" t="n">
        <v>8003346</v>
      </c>
      <c r="E32" s="0" t="n">
        <v>1983254</v>
      </c>
    </row>
    <row r="33" customFormat="false" ht="15" hidden="false" customHeight="false" outlineLevel="0" collapsed="false">
      <c r="A33" s="0" t="s">
        <v>436</v>
      </c>
      <c r="B33" s="0" t="n">
        <v>-134104505</v>
      </c>
      <c r="C33" s="0" t="n">
        <v>-111400297</v>
      </c>
      <c r="D33" s="0" t="n">
        <v>-90374618</v>
      </c>
      <c r="E33" s="0" t="n">
        <v>-82300992</v>
      </c>
    </row>
    <row r="34" customFormat="false" ht="15" hidden="false" customHeight="false" outlineLevel="0" collapsed="false">
      <c r="A34" s="0" t="s">
        <v>437</v>
      </c>
      <c r="B34" s="0" t="n">
        <v>-66802133</v>
      </c>
      <c r="C34" s="0" t="n">
        <v>-121451838</v>
      </c>
      <c r="D34" s="0" t="n">
        <v>-180385854</v>
      </c>
      <c r="E34" s="0" t="n">
        <v>19807355</v>
      </c>
    </row>
    <row r="35" customFormat="false" ht="15" hidden="false" customHeight="false" outlineLevel="0" collapsed="false">
      <c r="A35" s="0" t="s">
        <v>438</v>
      </c>
      <c r="B35" s="0" t="n">
        <v>80589421</v>
      </c>
      <c r="C35" s="0" t="n">
        <v>-100591682</v>
      </c>
      <c r="D35" s="0" t="n">
        <v>-58464638</v>
      </c>
      <c r="E35" s="0" t="n">
        <v>-60947816</v>
      </c>
    </row>
    <row r="36" customFormat="false" ht="15" hidden="false" customHeight="false" outlineLevel="0" collapsed="false">
      <c r="A36" s="0" t="s">
        <v>439</v>
      </c>
      <c r="B36" s="0" t="n">
        <v>-4018645</v>
      </c>
      <c r="C36" s="0" t="n">
        <v>8381141</v>
      </c>
      <c r="D36" s="0" t="n">
        <v>127164786</v>
      </c>
      <c r="E36" s="0" t="n">
        <v>52229763</v>
      </c>
    </row>
    <row r="37" customFormat="false" ht="15" hidden="false" customHeight="false" outlineLevel="0" collapsed="false">
      <c r="A37" s="0" t="s">
        <v>440</v>
      </c>
      <c r="B37" s="0" t="n">
        <v>-143372909</v>
      </c>
      <c r="C37" s="0" t="n">
        <v>-29241297</v>
      </c>
      <c r="D37" s="0" t="n">
        <v>-249086002</v>
      </c>
      <c r="E37" s="0" t="n">
        <v>28525408</v>
      </c>
    </row>
    <row r="38" customFormat="false" ht="15" hidden="false" customHeight="false" outlineLevel="0" collapsed="false">
      <c r="A38" s="0" t="s">
        <v>441</v>
      </c>
      <c r="B38" s="0" t="n">
        <v>-4071424</v>
      </c>
      <c r="C38" s="0" t="n">
        <v>-459614</v>
      </c>
      <c r="D38" s="0" t="n">
        <v>10399291</v>
      </c>
      <c r="E38" s="0" t="n">
        <v>20341099</v>
      </c>
    </row>
    <row r="39" customFormat="false" ht="15" hidden="false" customHeight="false" outlineLevel="0" collapsed="false">
      <c r="A39" s="0" t="s">
        <v>442</v>
      </c>
      <c r="B39" s="0" t="n">
        <v>4064677</v>
      </c>
      <c r="C39" s="0" t="n">
        <v>6252686</v>
      </c>
      <c r="D39" s="0" t="n">
        <v>4222154</v>
      </c>
      <c r="E39" s="0" t="n">
        <v>3788191</v>
      </c>
    </row>
    <row r="40" customFormat="false" ht="15" hidden="false" customHeight="false" outlineLevel="0" collapsed="false">
      <c r="A40" s="0" t="s">
        <v>443</v>
      </c>
      <c r="B40" s="0" t="n">
        <v>3652484</v>
      </c>
      <c r="C40" s="0" t="n">
        <v>5595247</v>
      </c>
      <c r="D40" s="0" t="n">
        <v>5657460</v>
      </c>
      <c r="E40" s="0" t="n">
        <v>1928630</v>
      </c>
    </row>
    <row r="41" customFormat="false" ht="15" hidden="false" customHeight="false" outlineLevel="0" collapsed="false">
      <c r="A41" s="0" t="s">
        <v>444</v>
      </c>
      <c r="B41" s="0" t="n">
        <v>4159540</v>
      </c>
      <c r="C41" s="0" t="n">
        <v>4052035</v>
      </c>
      <c r="D41" s="0" t="n">
        <v>3941477</v>
      </c>
      <c r="E41" s="0" t="n">
        <v>4000610</v>
      </c>
    </row>
    <row r="42" customFormat="false" ht="15" hidden="false" customHeight="false" outlineLevel="0" collapsed="false">
      <c r="A42" s="0" t="s">
        <v>445</v>
      </c>
      <c r="B42" s="0" t="n">
        <v>4159540</v>
      </c>
      <c r="C42" s="0" t="n">
        <v>4052035</v>
      </c>
      <c r="D42" s="0" t="n">
        <v>3941477</v>
      </c>
      <c r="E42" s="0" t="n">
        <v>4000610</v>
      </c>
    </row>
    <row r="43" customFormat="false" ht="15" hidden="false" customHeight="false" outlineLevel="0" collapsed="false">
      <c r="A43" s="0" t="s">
        <v>446</v>
      </c>
      <c r="B43" s="0" t="n">
        <v>-2772755</v>
      </c>
      <c r="C43" s="0" t="n">
        <v>-4074623</v>
      </c>
      <c r="D43" s="0" t="n">
        <v>-967151</v>
      </c>
      <c r="E43" s="0" t="n">
        <v>-614221</v>
      </c>
    </row>
    <row r="44" customFormat="false" ht="15" hidden="false" customHeight="false" outlineLevel="0" collapsed="false">
      <c r="A44" s="0" t="s">
        <v>447</v>
      </c>
      <c r="C44" s="0" t="n">
        <v>0</v>
      </c>
      <c r="D44" s="0" t="n">
        <v>-200614</v>
      </c>
      <c r="E44" s="0" t="n">
        <v>0</v>
      </c>
    </row>
    <row r="45" customFormat="false" ht="15" hidden="false" customHeight="false" outlineLevel="0" collapsed="false">
      <c r="A45" s="0" t="s">
        <v>448</v>
      </c>
      <c r="E45" s="0" t="n">
        <v>0</v>
      </c>
    </row>
    <row r="46" customFormat="false" ht="15" hidden="false" customHeight="false" outlineLevel="0" collapsed="false">
      <c r="A46" s="0" t="s">
        <v>449</v>
      </c>
      <c r="B46" s="0" t="n">
        <v>212543990</v>
      </c>
      <c r="C46" s="0" t="n">
        <v>268761724</v>
      </c>
      <c r="D46" s="0" t="n">
        <v>252358820</v>
      </c>
      <c r="E46" s="0" t="n">
        <v>179464816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712"/>
  <sheetViews>
    <sheetView showFormulas="false" showGridLines="true" showRowColHeaders="true" showZeros="true" rightToLeft="false" tabSelected="false" showOutlineSymbols="true" defaultGridColor="true" view="normal" topLeftCell="A4657" colorId="64" zoomScale="73" zoomScaleNormal="73" zoomScalePageLayoutView="100" workbookViewId="0">
      <selection pane="topLeft" activeCell="B1" activeCellId="0" sqref="B1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19.57"/>
    <col collapsed="false" customWidth="false" hidden="false" outlineLevel="0" max="2" min="2" style="37" width="8.57"/>
  </cols>
  <sheetData>
    <row r="1" customFormat="false" ht="15" hidden="false" customHeight="false" outlineLevel="0" collapsed="false">
      <c r="A1" s="0" t="s">
        <v>450</v>
      </c>
      <c r="B1" s="37" t="s">
        <v>451</v>
      </c>
    </row>
    <row r="2" customFormat="false" ht="15" hidden="false" customHeight="false" outlineLevel="0" collapsed="false">
      <c r="A2" s="148" t="n">
        <v>39402</v>
      </c>
      <c r="B2" s="37" t="n">
        <v>328.888793945313</v>
      </c>
    </row>
    <row r="3" customFormat="false" ht="15" hidden="false" customHeight="false" outlineLevel="0" collapsed="false">
      <c r="A3" s="148" t="n">
        <v>39405</v>
      </c>
      <c r="B3" s="37" t="n">
        <v>319.891845703125</v>
      </c>
    </row>
    <row r="4" customFormat="false" ht="15" hidden="false" customHeight="false" outlineLevel="0" collapsed="false">
      <c r="A4" s="148" t="n">
        <v>39406</v>
      </c>
      <c r="B4" s="37" t="n">
        <v>309.895233154297</v>
      </c>
    </row>
    <row r="5" customFormat="false" ht="15" hidden="false" customHeight="false" outlineLevel="0" collapsed="false">
      <c r="A5" s="148" t="n">
        <v>39407</v>
      </c>
      <c r="B5" s="37" t="n">
        <v>309.895233154297</v>
      </c>
    </row>
    <row r="6" customFormat="false" ht="15" hidden="false" customHeight="false" outlineLevel="0" collapsed="false">
      <c r="A6" s="148" t="n">
        <v>39408</v>
      </c>
      <c r="B6" s="37" t="n">
        <v>314.8935546875</v>
      </c>
    </row>
    <row r="7" customFormat="false" ht="15" hidden="false" customHeight="false" outlineLevel="0" collapsed="false">
      <c r="A7" s="148" t="n">
        <v>39409</v>
      </c>
      <c r="B7" s="37" t="n">
        <v>309.895233154297</v>
      </c>
    </row>
    <row r="8" customFormat="false" ht="15" hidden="false" customHeight="false" outlineLevel="0" collapsed="false">
      <c r="A8" s="148" t="n">
        <v>39412</v>
      </c>
      <c r="B8" s="37" t="n">
        <v>309.895233154297</v>
      </c>
    </row>
    <row r="9" customFormat="false" ht="15" hidden="false" customHeight="false" outlineLevel="0" collapsed="false">
      <c r="A9" s="148" t="n">
        <v>39413</v>
      </c>
      <c r="B9" s="37" t="n">
        <v>309.895233154297</v>
      </c>
    </row>
    <row r="10" customFormat="false" ht="15" hidden="false" customHeight="false" outlineLevel="0" collapsed="false">
      <c r="A10" s="148" t="n">
        <v>39414</v>
      </c>
      <c r="B10" s="37" t="n">
        <v>299.898620605469</v>
      </c>
    </row>
    <row r="11" customFormat="false" ht="15" hidden="false" customHeight="false" outlineLevel="0" collapsed="false">
      <c r="A11" s="148" t="n">
        <v>39415</v>
      </c>
      <c r="B11" s="37" t="n">
        <v>299.898620605469</v>
      </c>
    </row>
    <row r="12" customFormat="false" ht="15" hidden="false" customHeight="false" outlineLevel="0" collapsed="false">
      <c r="A12" s="148" t="n">
        <v>39416</v>
      </c>
      <c r="B12" s="37" t="n">
        <v>299.898620605469</v>
      </c>
    </row>
    <row r="13" customFormat="false" ht="15" hidden="false" customHeight="false" outlineLevel="0" collapsed="false">
      <c r="A13" s="148" t="n">
        <v>39419</v>
      </c>
      <c r="B13" s="37" t="n">
        <v>299.898620605469</v>
      </c>
    </row>
    <row r="14" customFormat="false" ht="15" hidden="false" customHeight="false" outlineLevel="0" collapsed="false">
      <c r="A14" s="148" t="n">
        <v>39420</v>
      </c>
      <c r="B14" s="37" t="n">
        <v>314.8935546875</v>
      </c>
    </row>
    <row r="15" customFormat="false" ht="15" hidden="false" customHeight="false" outlineLevel="0" collapsed="false">
      <c r="A15" s="148" t="n">
        <v>39421</v>
      </c>
      <c r="B15" s="37" t="n">
        <v>304.896942138672</v>
      </c>
    </row>
    <row r="16" customFormat="false" ht="15" hidden="false" customHeight="false" outlineLevel="0" collapsed="false">
      <c r="A16" s="148" t="n">
        <v>39422</v>
      </c>
      <c r="B16" s="37" t="n">
        <v>304.896942138672</v>
      </c>
    </row>
    <row r="17" customFormat="false" ht="15" hidden="false" customHeight="false" outlineLevel="0" collapsed="false">
      <c r="A17" s="148" t="n">
        <v>39423</v>
      </c>
      <c r="B17" s="37" t="n">
        <v>304.896942138672</v>
      </c>
    </row>
    <row r="18" customFormat="false" ht="15" hidden="false" customHeight="false" outlineLevel="0" collapsed="false">
      <c r="A18" s="148" t="n">
        <v>39426</v>
      </c>
      <c r="B18" s="37" t="n">
        <v>304.896942138672</v>
      </c>
    </row>
    <row r="19" customFormat="false" ht="15" hidden="false" customHeight="false" outlineLevel="0" collapsed="false">
      <c r="A19" s="148" t="n">
        <v>39427</v>
      </c>
      <c r="B19" s="37" t="n">
        <v>304.896942138672</v>
      </c>
    </row>
    <row r="20" customFormat="false" ht="15" hidden="false" customHeight="false" outlineLevel="0" collapsed="false">
      <c r="A20" s="148" t="n">
        <v>39428</v>
      </c>
      <c r="B20" s="37" t="n">
        <v>302.897613525391</v>
      </c>
    </row>
    <row r="21" customFormat="false" ht="15" hidden="false" customHeight="false" outlineLevel="0" collapsed="false">
      <c r="A21" s="148" t="n">
        <v>39429</v>
      </c>
      <c r="B21" s="37" t="n">
        <v>299.898620605469</v>
      </c>
    </row>
    <row r="22" customFormat="false" ht="15" hidden="false" customHeight="false" outlineLevel="0" collapsed="false">
      <c r="A22" s="148" t="n">
        <v>39430</v>
      </c>
      <c r="B22" s="37" t="n">
        <v>309.895233154297</v>
      </c>
    </row>
    <row r="23" customFormat="false" ht="15" hidden="false" customHeight="false" outlineLevel="0" collapsed="false">
      <c r="A23" s="148" t="n">
        <v>39434</v>
      </c>
      <c r="B23" s="37" t="n">
        <v>309.895233154297</v>
      </c>
    </row>
    <row r="24" customFormat="false" ht="15" hidden="false" customHeight="false" outlineLevel="0" collapsed="false">
      <c r="A24" s="148" t="n">
        <v>39435</v>
      </c>
      <c r="B24" s="37" t="n">
        <v>309.895233154297</v>
      </c>
    </row>
    <row r="25" customFormat="false" ht="15" hidden="false" customHeight="false" outlineLevel="0" collapsed="false">
      <c r="A25" s="148" t="n">
        <v>39436</v>
      </c>
      <c r="B25" s="37" t="n">
        <v>309.895233154297</v>
      </c>
    </row>
    <row r="26" customFormat="false" ht="15" hidden="false" customHeight="false" outlineLevel="0" collapsed="false">
      <c r="A26" s="148" t="n">
        <v>39437</v>
      </c>
      <c r="B26" s="37" t="n">
        <v>309.895233154297</v>
      </c>
    </row>
    <row r="27" customFormat="false" ht="15" hidden="false" customHeight="false" outlineLevel="0" collapsed="false">
      <c r="A27" s="148" t="n">
        <v>39440</v>
      </c>
      <c r="B27" s="37" t="n">
        <v>309.895233154297</v>
      </c>
    </row>
    <row r="28" customFormat="false" ht="15" hidden="false" customHeight="false" outlineLevel="0" collapsed="false">
      <c r="A28" s="148" t="n">
        <v>39443</v>
      </c>
      <c r="B28" s="37" t="n">
        <v>299.898620605469</v>
      </c>
    </row>
    <row r="29" customFormat="false" ht="15" hidden="false" customHeight="false" outlineLevel="0" collapsed="false">
      <c r="A29" s="148" t="n">
        <v>39444</v>
      </c>
      <c r="B29" s="37" t="n">
        <v>299.898620605469</v>
      </c>
    </row>
    <row r="30" customFormat="false" ht="15" hidden="false" customHeight="false" outlineLevel="0" collapsed="false">
      <c r="A30" s="148" t="n">
        <v>39447</v>
      </c>
      <c r="B30" s="37" t="n">
        <v>299.898620605469</v>
      </c>
    </row>
    <row r="31" customFormat="false" ht="15" hidden="false" customHeight="false" outlineLevel="0" collapsed="false">
      <c r="A31" s="148" t="n">
        <v>39449</v>
      </c>
      <c r="B31" s="37" t="n">
        <v>299.898620605469</v>
      </c>
    </row>
    <row r="32" customFormat="false" ht="15" hidden="false" customHeight="false" outlineLevel="0" collapsed="false">
      <c r="A32" s="148" t="n">
        <v>39450</v>
      </c>
      <c r="B32" s="37" t="n">
        <v>299.898620605469</v>
      </c>
    </row>
    <row r="33" customFormat="false" ht="15" hidden="false" customHeight="false" outlineLevel="0" collapsed="false">
      <c r="A33" s="148" t="n">
        <v>39451</v>
      </c>
      <c r="B33" s="37" t="n">
        <v>299.898620605469</v>
      </c>
    </row>
    <row r="34" customFormat="false" ht="15" hidden="false" customHeight="false" outlineLevel="0" collapsed="false">
      <c r="A34" s="148" t="n">
        <v>39454</v>
      </c>
      <c r="B34" s="37" t="n">
        <v>299.898620605469</v>
      </c>
    </row>
    <row r="35" customFormat="false" ht="15" hidden="false" customHeight="false" outlineLevel="0" collapsed="false">
      <c r="A35" s="148" t="n">
        <v>39455</v>
      </c>
      <c r="B35" s="37" t="n">
        <v>299.898620605469</v>
      </c>
    </row>
    <row r="36" customFormat="false" ht="15" hidden="false" customHeight="false" outlineLevel="0" collapsed="false">
      <c r="A36" s="148" t="n">
        <v>39456</v>
      </c>
      <c r="B36" s="37" t="n">
        <v>299.898620605469</v>
      </c>
    </row>
    <row r="37" customFormat="false" ht="15" hidden="false" customHeight="false" outlineLevel="0" collapsed="false">
      <c r="A37" s="148" t="n">
        <v>39457</v>
      </c>
      <c r="B37" s="37" t="n">
        <v>299.898620605469</v>
      </c>
    </row>
    <row r="38" customFormat="false" ht="15" hidden="false" customHeight="false" outlineLevel="0" collapsed="false">
      <c r="A38" s="148" t="n">
        <v>39458</v>
      </c>
      <c r="B38" s="37" t="n">
        <v>299.898620605469</v>
      </c>
    </row>
    <row r="39" customFormat="false" ht="15" hidden="false" customHeight="false" outlineLevel="0" collapsed="false">
      <c r="A39" s="148" t="n">
        <v>39461</v>
      </c>
      <c r="B39" s="37" t="n">
        <v>299.898620605469</v>
      </c>
    </row>
    <row r="40" customFormat="false" ht="15" hidden="false" customHeight="false" outlineLevel="0" collapsed="false">
      <c r="A40" s="148" t="n">
        <v>39462</v>
      </c>
      <c r="B40" s="37" t="n">
        <v>299.898620605469</v>
      </c>
    </row>
    <row r="41" customFormat="false" ht="15" hidden="false" customHeight="false" outlineLevel="0" collapsed="false">
      <c r="A41" s="148" t="n">
        <v>39463</v>
      </c>
      <c r="B41" s="37" t="n">
        <v>299.898620605469</v>
      </c>
    </row>
    <row r="42" customFormat="false" ht="15" hidden="false" customHeight="false" outlineLevel="0" collapsed="false">
      <c r="A42" s="148" t="n">
        <v>39464</v>
      </c>
      <c r="B42" s="37" t="n">
        <v>299.898620605469</v>
      </c>
    </row>
    <row r="43" customFormat="false" ht="15" hidden="false" customHeight="false" outlineLevel="0" collapsed="false">
      <c r="A43" s="148" t="n">
        <v>39465</v>
      </c>
      <c r="B43" s="37" t="n">
        <v>299.898620605469</v>
      </c>
    </row>
    <row r="44" customFormat="false" ht="15" hidden="false" customHeight="false" outlineLevel="0" collapsed="false">
      <c r="A44" s="148" t="n">
        <v>39468</v>
      </c>
      <c r="B44" s="37" t="n">
        <v>299.898620605469</v>
      </c>
    </row>
    <row r="45" customFormat="false" ht="15" hidden="false" customHeight="false" outlineLevel="0" collapsed="false">
      <c r="A45" s="148" t="n">
        <v>39469</v>
      </c>
      <c r="B45" s="37" t="n">
        <v>289.902008056641</v>
      </c>
    </row>
    <row r="46" customFormat="false" ht="15" hidden="false" customHeight="false" outlineLevel="0" collapsed="false">
      <c r="A46" s="148" t="n">
        <v>39470</v>
      </c>
      <c r="B46" s="37" t="n">
        <v>289.902008056641</v>
      </c>
    </row>
    <row r="47" customFormat="false" ht="15" hidden="false" customHeight="false" outlineLevel="0" collapsed="false">
      <c r="A47" s="148" t="n">
        <v>39471</v>
      </c>
      <c r="B47" s="37" t="n">
        <v>289.902008056641</v>
      </c>
    </row>
    <row r="48" customFormat="false" ht="15" hidden="false" customHeight="false" outlineLevel="0" collapsed="false">
      <c r="A48" s="148" t="n">
        <v>39472</v>
      </c>
      <c r="B48" s="37" t="n">
        <v>289.902008056641</v>
      </c>
    </row>
    <row r="49" customFormat="false" ht="15" hidden="false" customHeight="false" outlineLevel="0" collapsed="false">
      <c r="A49" s="148" t="n">
        <v>39475</v>
      </c>
      <c r="B49" s="37" t="n">
        <v>289.902008056641</v>
      </c>
    </row>
    <row r="50" customFormat="false" ht="15" hidden="false" customHeight="false" outlineLevel="0" collapsed="false">
      <c r="A50" s="148" t="n">
        <v>39476</v>
      </c>
      <c r="B50" s="37" t="n">
        <v>289.902008056641</v>
      </c>
    </row>
    <row r="51" customFormat="false" ht="15" hidden="false" customHeight="false" outlineLevel="0" collapsed="false">
      <c r="A51" s="148" t="n">
        <v>39477</v>
      </c>
      <c r="B51" s="37" t="n">
        <v>289.902008056641</v>
      </c>
    </row>
    <row r="52" customFormat="false" ht="15" hidden="false" customHeight="false" outlineLevel="0" collapsed="false">
      <c r="A52" s="148" t="n">
        <v>39478</v>
      </c>
      <c r="B52" s="37" t="n">
        <v>289.902008056641</v>
      </c>
    </row>
    <row r="53" customFormat="false" ht="15" hidden="false" customHeight="false" outlineLevel="0" collapsed="false">
      <c r="A53" s="148" t="n">
        <v>39479</v>
      </c>
      <c r="B53" s="37" t="n">
        <v>289.902008056641</v>
      </c>
    </row>
    <row r="54" customFormat="false" ht="15" hidden="false" customHeight="false" outlineLevel="0" collapsed="false">
      <c r="A54" s="148" t="n">
        <v>39482</v>
      </c>
      <c r="B54" s="37" t="n">
        <v>289.902008056641</v>
      </c>
    </row>
    <row r="55" customFormat="false" ht="15" hidden="false" customHeight="false" outlineLevel="0" collapsed="false">
      <c r="A55" s="148" t="n">
        <v>39483</v>
      </c>
      <c r="B55" s="37" t="n">
        <v>288.902313232422</v>
      </c>
    </row>
    <row r="56" customFormat="false" ht="15" hidden="false" customHeight="false" outlineLevel="0" collapsed="false">
      <c r="A56" s="148" t="n">
        <v>39484</v>
      </c>
      <c r="B56" s="37" t="n">
        <v>288.902313232422</v>
      </c>
    </row>
    <row r="57" customFormat="false" ht="15" hidden="false" customHeight="false" outlineLevel="0" collapsed="false">
      <c r="A57" s="148" t="n">
        <v>39485</v>
      </c>
      <c r="B57" s="37" t="n">
        <v>283.904022216797</v>
      </c>
    </row>
    <row r="58" customFormat="false" ht="15" hidden="false" customHeight="false" outlineLevel="0" collapsed="false">
      <c r="A58" s="148" t="n">
        <v>39486</v>
      </c>
      <c r="B58" s="37" t="n">
        <v>283.904022216797</v>
      </c>
    </row>
    <row r="59" customFormat="false" ht="15" hidden="false" customHeight="false" outlineLevel="0" collapsed="false">
      <c r="A59" s="148" t="n">
        <v>39489</v>
      </c>
      <c r="B59" s="37" t="n">
        <v>283.904022216797</v>
      </c>
    </row>
    <row r="60" customFormat="false" ht="15" hidden="false" customHeight="false" outlineLevel="0" collapsed="false">
      <c r="A60" s="148" t="n">
        <v>39490</v>
      </c>
      <c r="B60" s="37" t="n">
        <v>288.902313232422</v>
      </c>
    </row>
    <row r="61" customFormat="false" ht="15" hidden="false" customHeight="false" outlineLevel="0" collapsed="false">
      <c r="A61" s="148" t="n">
        <v>39491</v>
      </c>
      <c r="B61" s="37" t="n">
        <v>288.902313232422</v>
      </c>
    </row>
    <row r="62" customFormat="false" ht="15" hidden="false" customHeight="false" outlineLevel="0" collapsed="false">
      <c r="A62" s="148" t="n">
        <v>39492</v>
      </c>
      <c r="B62" s="37" t="n">
        <v>288.902313232422</v>
      </c>
    </row>
    <row r="63" customFormat="false" ht="15" hidden="false" customHeight="false" outlineLevel="0" collapsed="false">
      <c r="A63" s="148" t="n">
        <v>39493</v>
      </c>
      <c r="B63" s="37" t="n">
        <v>288.902313232422</v>
      </c>
    </row>
    <row r="64" customFormat="false" ht="15" hidden="false" customHeight="false" outlineLevel="0" collapsed="false">
      <c r="A64" s="148" t="n">
        <v>39496</v>
      </c>
      <c r="B64" s="37" t="n">
        <v>288.902313232422</v>
      </c>
    </row>
    <row r="65" customFormat="false" ht="15" hidden="false" customHeight="false" outlineLevel="0" collapsed="false">
      <c r="A65" s="148" t="n">
        <v>39497</v>
      </c>
      <c r="B65" s="37" t="n">
        <v>277.906036376953</v>
      </c>
    </row>
    <row r="66" customFormat="false" ht="15" hidden="false" customHeight="false" outlineLevel="0" collapsed="false">
      <c r="A66" s="148" t="n">
        <v>39498</v>
      </c>
      <c r="B66" s="37" t="n">
        <v>277.906036376953</v>
      </c>
    </row>
    <row r="67" customFormat="false" ht="15" hidden="false" customHeight="false" outlineLevel="0" collapsed="false">
      <c r="A67" s="148" t="n">
        <v>39499</v>
      </c>
      <c r="B67" s="37" t="n">
        <v>255.913482666016</v>
      </c>
    </row>
    <row r="68" customFormat="false" ht="15" hidden="false" customHeight="false" outlineLevel="0" collapsed="false">
      <c r="A68" s="148" t="n">
        <v>39500</v>
      </c>
      <c r="B68" s="37" t="n">
        <v>255.913482666016</v>
      </c>
    </row>
    <row r="69" customFormat="false" ht="15" hidden="false" customHeight="false" outlineLevel="0" collapsed="false">
      <c r="A69" s="148" t="n">
        <v>39503</v>
      </c>
      <c r="B69" s="37" t="n">
        <v>239.918899536133</v>
      </c>
    </row>
    <row r="70" customFormat="false" ht="15" hidden="false" customHeight="false" outlineLevel="0" collapsed="false">
      <c r="A70" s="148" t="n">
        <v>39504</v>
      </c>
      <c r="B70" s="37" t="n">
        <v>239.918899536133</v>
      </c>
    </row>
    <row r="71" customFormat="false" ht="15" hidden="false" customHeight="false" outlineLevel="0" collapsed="false">
      <c r="A71" s="148" t="n">
        <v>39505</v>
      </c>
      <c r="B71" s="37" t="n">
        <v>239.918899536133</v>
      </c>
    </row>
    <row r="72" customFormat="false" ht="15" hidden="false" customHeight="false" outlineLevel="0" collapsed="false">
      <c r="A72" s="148" t="n">
        <v>39506</v>
      </c>
      <c r="B72" s="37" t="n">
        <v>239.918899536133</v>
      </c>
    </row>
    <row r="73" customFormat="false" ht="15" hidden="false" customHeight="false" outlineLevel="0" collapsed="false">
      <c r="A73" s="148" t="n">
        <v>39507</v>
      </c>
      <c r="B73" s="37" t="n">
        <v>239.918899536133</v>
      </c>
    </row>
    <row r="74" customFormat="false" ht="15" hidden="false" customHeight="false" outlineLevel="0" collapsed="false">
      <c r="A74" s="148" t="n">
        <v>39510</v>
      </c>
      <c r="B74" s="37" t="n">
        <v>239.918899536133</v>
      </c>
    </row>
    <row r="75" customFormat="false" ht="15" hidden="false" customHeight="false" outlineLevel="0" collapsed="false">
      <c r="A75" s="148" t="n">
        <v>39511</v>
      </c>
      <c r="B75" s="37" t="n">
        <v>239.918899536133</v>
      </c>
    </row>
    <row r="76" customFormat="false" ht="15" hidden="false" customHeight="false" outlineLevel="0" collapsed="false">
      <c r="A76" s="148" t="n">
        <v>39512</v>
      </c>
      <c r="B76" s="37" t="n">
        <v>239.918899536133</v>
      </c>
    </row>
    <row r="77" customFormat="false" ht="15" hidden="false" customHeight="false" outlineLevel="0" collapsed="false">
      <c r="A77" s="148" t="n">
        <v>39513</v>
      </c>
      <c r="B77" s="37" t="n">
        <v>239.918899536133</v>
      </c>
    </row>
    <row r="78" customFormat="false" ht="15" hidden="false" customHeight="false" outlineLevel="0" collapsed="false">
      <c r="A78" s="148" t="n">
        <v>39514</v>
      </c>
      <c r="B78" s="37" t="n">
        <v>239.918899536133</v>
      </c>
    </row>
    <row r="79" customFormat="false" ht="15" hidden="false" customHeight="false" outlineLevel="0" collapsed="false">
      <c r="A79" s="148" t="n">
        <v>39517</v>
      </c>
      <c r="B79" s="37" t="n">
        <v>239.918899536133</v>
      </c>
    </row>
    <row r="80" customFormat="false" ht="15" hidden="false" customHeight="false" outlineLevel="0" collapsed="false">
      <c r="A80" s="148" t="n">
        <v>39518</v>
      </c>
      <c r="B80" s="37" t="n">
        <v>239.918899536133</v>
      </c>
    </row>
    <row r="81" customFormat="false" ht="15" hidden="false" customHeight="false" outlineLevel="0" collapsed="false">
      <c r="A81" s="148" t="n">
        <v>39519</v>
      </c>
      <c r="B81" s="37" t="n">
        <v>239.918899536133</v>
      </c>
    </row>
    <row r="82" customFormat="false" ht="15" hidden="false" customHeight="false" outlineLevel="0" collapsed="false">
      <c r="A82" s="148" t="n">
        <v>39520</v>
      </c>
      <c r="B82" s="37" t="n">
        <v>239.918899536133</v>
      </c>
    </row>
    <row r="83" customFormat="false" ht="15" hidden="false" customHeight="false" outlineLevel="0" collapsed="false">
      <c r="A83" s="148" t="n">
        <v>39521</v>
      </c>
      <c r="B83" s="37" t="n">
        <v>239.918899536133</v>
      </c>
    </row>
    <row r="84" customFormat="false" ht="15" hidden="false" customHeight="false" outlineLevel="0" collapsed="false">
      <c r="A84" s="148" t="n">
        <v>39524</v>
      </c>
      <c r="B84" s="37" t="n">
        <v>239.918899536133</v>
      </c>
    </row>
    <row r="85" customFormat="false" ht="15" hidden="false" customHeight="false" outlineLevel="0" collapsed="false">
      <c r="A85" s="148" t="n">
        <v>39525</v>
      </c>
      <c r="B85" s="37" t="n">
        <v>249.91552734375</v>
      </c>
    </row>
    <row r="86" customFormat="false" ht="15" hidden="false" customHeight="false" outlineLevel="0" collapsed="false">
      <c r="A86" s="148" t="n">
        <v>39526</v>
      </c>
      <c r="B86" s="37" t="n">
        <v>249.91552734375</v>
      </c>
    </row>
    <row r="87" customFormat="false" ht="15" hidden="false" customHeight="false" outlineLevel="0" collapsed="false">
      <c r="A87" s="148" t="n">
        <v>39527</v>
      </c>
      <c r="B87" s="37" t="n">
        <v>249.91552734375</v>
      </c>
    </row>
    <row r="88" customFormat="false" ht="15" hidden="false" customHeight="false" outlineLevel="0" collapsed="false">
      <c r="A88" s="148" t="n">
        <v>39532</v>
      </c>
      <c r="B88" s="37" t="n">
        <v>249.91552734375</v>
      </c>
    </row>
    <row r="89" customFormat="false" ht="15" hidden="false" customHeight="false" outlineLevel="0" collapsed="false">
      <c r="A89" s="148" t="n">
        <v>39533</v>
      </c>
      <c r="B89" s="37" t="n">
        <v>229.922286987305</v>
      </c>
    </row>
    <row r="90" customFormat="false" ht="15" hidden="false" customHeight="false" outlineLevel="0" collapsed="false">
      <c r="A90" s="148" t="n">
        <v>39534</v>
      </c>
      <c r="B90" s="37" t="n">
        <v>229.922286987305</v>
      </c>
    </row>
    <row r="91" customFormat="false" ht="15" hidden="false" customHeight="false" outlineLevel="0" collapsed="false">
      <c r="A91" s="148" t="n">
        <v>39535</v>
      </c>
      <c r="B91" s="37" t="n">
        <v>229.922286987305</v>
      </c>
    </row>
    <row r="92" customFormat="false" ht="15" hidden="false" customHeight="false" outlineLevel="0" collapsed="false">
      <c r="A92" s="148" t="n">
        <v>39538</v>
      </c>
      <c r="B92" s="37" t="n">
        <v>229.922286987305</v>
      </c>
    </row>
    <row r="93" customFormat="false" ht="15" hidden="false" customHeight="false" outlineLevel="0" collapsed="false">
      <c r="A93" s="148" t="n">
        <v>39539</v>
      </c>
      <c r="B93" s="37" t="n">
        <v>229.922286987305</v>
      </c>
    </row>
    <row r="94" customFormat="false" ht="15" hidden="false" customHeight="false" outlineLevel="0" collapsed="false">
      <c r="A94" s="148" t="n">
        <v>39540</v>
      </c>
      <c r="B94" s="37" t="n">
        <v>229.922286987305</v>
      </c>
    </row>
    <row r="95" customFormat="false" ht="15" hidden="false" customHeight="false" outlineLevel="0" collapsed="false">
      <c r="A95" s="148" t="n">
        <v>39541</v>
      </c>
      <c r="B95" s="37" t="n">
        <v>229.922286987305</v>
      </c>
    </row>
    <row r="96" customFormat="false" ht="15" hidden="false" customHeight="false" outlineLevel="0" collapsed="false">
      <c r="A96" s="148" t="n">
        <v>39542</v>
      </c>
      <c r="B96" s="37" t="n">
        <v>229.922286987305</v>
      </c>
    </row>
    <row r="97" customFormat="false" ht="15" hidden="false" customHeight="false" outlineLevel="0" collapsed="false">
      <c r="A97" s="148" t="n">
        <v>39545</v>
      </c>
      <c r="B97" s="37" t="n">
        <v>214.927337646484</v>
      </c>
    </row>
    <row r="98" customFormat="false" ht="15" hidden="false" customHeight="false" outlineLevel="0" collapsed="false">
      <c r="A98" s="148" t="n">
        <v>39546</v>
      </c>
      <c r="B98" s="37" t="n">
        <v>214.927337646484</v>
      </c>
    </row>
    <row r="99" customFormat="false" ht="15" hidden="false" customHeight="false" outlineLevel="0" collapsed="false">
      <c r="A99" s="148" t="n">
        <v>39547</v>
      </c>
      <c r="B99" s="37" t="n">
        <v>214.927337646484</v>
      </c>
    </row>
    <row r="100" customFormat="false" ht="15" hidden="false" customHeight="false" outlineLevel="0" collapsed="false">
      <c r="A100" s="148" t="n">
        <v>39548</v>
      </c>
      <c r="B100" s="37" t="n">
        <v>214.927337646484</v>
      </c>
    </row>
    <row r="101" customFormat="false" ht="15" hidden="false" customHeight="false" outlineLevel="0" collapsed="false">
      <c r="A101" s="148" t="n">
        <v>39549</v>
      </c>
      <c r="B101" s="37" t="n">
        <v>214.927337646484</v>
      </c>
    </row>
    <row r="102" customFormat="false" ht="15" hidden="false" customHeight="false" outlineLevel="0" collapsed="false">
      <c r="A102" s="148" t="n">
        <v>39552</v>
      </c>
      <c r="B102" s="37" t="n">
        <v>214.927337646484</v>
      </c>
    </row>
    <row r="103" customFormat="false" ht="15" hidden="false" customHeight="false" outlineLevel="0" collapsed="false">
      <c r="A103" s="148" t="n">
        <v>39553</v>
      </c>
      <c r="B103" s="37" t="n">
        <v>214.927337646484</v>
      </c>
    </row>
    <row r="104" customFormat="false" ht="15" hidden="false" customHeight="false" outlineLevel="0" collapsed="false">
      <c r="A104" s="148" t="n">
        <v>39554</v>
      </c>
      <c r="B104" s="37" t="n">
        <v>199.932403564453</v>
      </c>
    </row>
    <row r="105" customFormat="false" ht="15" hidden="false" customHeight="false" outlineLevel="0" collapsed="false">
      <c r="A105" s="148" t="n">
        <v>39555</v>
      </c>
      <c r="B105" s="37" t="n">
        <v>199.932403564453</v>
      </c>
    </row>
    <row r="106" customFormat="false" ht="15" hidden="false" customHeight="false" outlineLevel="0" collapsed="false">
      <c r="A106" s="148" t="n">
        <v>39556</v>
      </c>
      <c r="B106" s="37" t="n">
        <v>199.932403564453</v>
      </c>
    </row>
    <row r="107" customFormat="false" ht="15" hidden="false" customHeight="false" outlineLevel="0" collapsed="false">
      <c r="A107" s="148" t="n">
        <v>39559</v>
      </c>
      <c r="B107" s="37" t="n">
        <v>199.932403564453</v>
      </c>
    </row>
    <row r="108" customFormat="false" ht="15" hidden="false" customHeight="false" outlineLevel="0" collapsed="false">
      <c r="A108" s="148" t="n">
        <v>39560</v>
      </c>
      <c r="B108" s="37" t="n">
        <v>179.939163208008</v>
      </c>
    </row>
    <row r="109" customFormat="false" ht="15" hidden="false" customHeight="false" outlineLevel="0" collapsed="false">
      <c r="A109" s="148" t="n">
        <v>39561</v>
      </c>
      <c r="B109" s="37" t="n">
        <v>179.939163208008</v>
      </c>
    </row>
    <row r="110" customFormat="false" ht="15" hidden="false" customHeight="false" outlineLevel="0" collapsed="false">
      <c r="A110" s="148" t="n">
        <v>39562</v>
      </c>
      <c r="B110" s="37" t="n">
        <v>179.939163208008</v>
      </c>
    </row>
    <row r="111" customFormat="false" ht="15" hidden="false" customHeight="false" outlineLevel="0" collapsed="false">
      <c r="A111" s="148" t="n">
        <v>39563</v>
      </c>
      <c r="B111" s="37" t="n">
        <v>179.939163208008</v>
      </c>
    </row>
    <row r="112" customFormat="false" ht="15" hidden="false" customHeight="false" outlineLevel="0" collapsed="false">
      <c r="A112" s="148" t="n">
        <v>39566</v>
      </c>
      <c r="B112" s="37" t="n">
        <v>179.939163208008</v>
      </c>
    </row>
    <row r="113" customFormat="false" ht="15" hidden="false" customHeight="false" outlineLevel="0" collapsed="false">
      <c r="A113" s="148" t="n">
        <v>39567</v>
      </c>
      <c r="B113" s="37" t="n">
        <v>179.939163208008</v>
      </c>
    </row>
    <row r="114" customFormat="false" ht="15" hidden="false" customHeight="false" outlineLevel="0" collapsed="false">
      <c r="A114" s="148" t="n">
        <v>39568</v>
      </c>
      <c r="B114" s="37" t="n">
        <v>179.939163208008</v>
      </c>
    </row>
    <row r="115" customFormat="false" ht="15" hidden="false" customHeight="false" outlineLevel="0" collapsed="false">
      <c r="A115" s="148" t="n">
        <v>39570</v>
      </c>
      <c r="B115" s="37" t="n">
        <v>179.939163208008</v>
      </c>
    </row>
    <row r="116" customFormat="false" ht="15" hidden="false" customHeight="false" outlineLevel="0" collapsed="false">
      <c r="A116" s="148" t="n">
        <v>39573</v>
      </c>
      <c r="B116" s="37" t="n">
        <v>179.939163208008</v>
      </c>
    </row>
    <row r="117" customFormat="false" ht="15" hidden="false" customHeight="false" outlineLevel="0" collapsed="false">
      <c r="A117" s="148" t="n">
        <v>39574</v>
      </c>
      <c r="B117" s="37" t="n">
        <v>184.937484741211</v>
      </c>
    </row>
    <row r="118" customFormat="false" ht="15" hidden="false" customHeight="false" outlineLevel="0" collapsed="false">
      <c r="A118" s="148" t="n">
        <v>39575</v>
      </c>
      <c r="B118" s="37" t="n">
        <v>184.937484741211</v>
      </c>
    </row>
    <row r="119" customFormat="false" ht="15" hidden="false" customHeight="false" outlineLevel="0" collapsed="false">
      <c r="A119" s="148" t="n">
        <v>39576</v>
      </c>
      <c r="B119" s="37" t="n">
        <v>184.937484741211</v>
      </c>
    </row>
    <row r="120" customFormat="false" ht="15" hidden="false" customHeight="false" outlineLevel="0" collapsed="false">
      <c r="A120" s="148" t="n">
        <v>39577</v>
      </c>
      <c r="B120" s="37" t="n">
        <v>184.937484741211</v>
      </c>
    </row>
    <row r="121" customFormat="false" ht="15" hidden="false" customHeight="false" outlineLevel="0" collapsed="false">
      <c r="A121" s="148" t="n">
        <v>39580</v>
      </c>
      <c r="B121" s="37" t="n">
        <v>184.937484741211</v>
      </c>
    </row>
    <row r="122" customFormat="false" ht="15" hidden="false" customHeight="false" outlineLevel="0" collapsed="false">
      <c r="A122" s="148" t="n">
        <v>39581</v>
      </c>
      <c r="B122" s="37" t="n">
        <v>184.937484741211</v>
      </c>
    </row>
    <row r="123" customFormat="false" ht="15" hidden="false" customHeight="false" outlineLevel="0" collapsed="false">
      <c r="A123" s="148" t="n">
        <v>39582</v>
      </c>
      <c r="B123" s="37" t="n">
        <v>182.93815612793</v>
      </c>
    </row>
    <row r="124" customFormat="false" ht="15" hidden="false" customHeight="false" outlineLevel="0" collapsed="false">
      <c r="A124" s="148" t="n">
        <v>39583</v>
      </c>
      <c r="B124" s="37" t="n">
        <v>164.944244384766</v>
      </c>
    </row>
    <row r="125" customFormat="false" ht="15" hidden="false" customHeight="false" outlineLevel="0" collapsed="false">
      <c r="A125" s="148" t="n">
        <v>39584</v>
      </c>
      <c r="B125" s="37" t="n">
        <v>164.944244384766</v>
      </c>
    </row>
    <row r="126" customFormat="false" ht="15" hidden="false" customHeight="false" outlineLevel="0" collapsed="false">
      <c r="A126" s="148" t="n">
        <v>39587</v>
      </c>
      <c r="B126" s="37" t="n">
        <v>164.944244384766</v>
      </c>
    </row>
    <row r="127" customFormat="false" ht="15" hidden="false" customHeight="false" outlineLevel="0" collapsed="false">
      <c r="A127" s="148" t="n">
        <v>39588</v>
      </c>
      <c r="B127" s="37" t="n">
        <v>164.944244384766</v>
      </c>
    </row>
    <row r="128" customFormat="false" ht="15" hidden="false" customHeight="false" outlineLevel="0" collapsed="false">
      <c r="A128" s="148" t="n">
        <v>39589</v>
      </c>
      <c r="B128" s="37" t="n">
        <v>169.94255065918</v>
      </c>
    </row>
    <row r="129" customFormat="false" ht="15" hidden="false" customHeight="false" outlineLevel="0" collapsed="false">
      <c r="A129" s="148" t="n">
        <v>39590</v>
      </c>
      <c r="B129" s="37" t="n">
        <v>169.94255065918</v>
      </c>
    </row>
    <row r="130" customFormat="false" ht="15" hidden="false" customHeight="false" outlineLevel="0" collapsed="false">
      <c r="A130" s="148" t="n">
        <v>39591</v>
      </c>
      <c r="B130" s="37" t="n">
        <v>169.94255065918</v>
      </c>
    </row>
    <row r="131" customFormat="false" ht="15" hidden="false" customHeight="false" outlineLevel="0" collapsed="false">
      <c r="A131" s="148" t="n">
        <v>39594</v>
      </c>
      <c r="B131" s="37" t="n">
        <v>169.94255065918</v>
      </c>
    </row>
    <row r="132" customFormat="false" ht="15" hidden="false" customHeight="false" outlineLevel="0" collapsed="false">
      <c r="A132" s="148" t="n">
        <v>39595</v>
      </c>
      <c r="B132" s="37" t="n">
        <v>169.94255065918</v>
      </c>
    </row>
    <row r="133" customFormat="false" ht="15" hidden="false" customHeight="false" outlineLevel="0" collapsed="false">
      <c r="A133" s="148" t="n">
        <v>39596</v>
      </c>
      <c r="B133" s="37" t="n">
        <v>167.943237304688</v>
      </c>
    </row>
    <row r="134" customFormat="false" ht="15" hidden="false" customHeight="false" outlineLevel="0" collapsed="false">
      <c r="A134" s="148" t="n">
        <v>39597</v>
      </c>
      <c r="B134" s="37" t="n">
        <v>167.943237304688</v>
      </c>
    </row>
    <row r="135" customFormat="false" ht="15" hidden="false" customHeight="false" outlineLevel="0" collapsed="false">
      <c r="A135" s="148" t="n">
        <v>39598</v>
      </c>
      <c r="B135" s="37" t="n">
        <v>159.945922851563</v>
      </c>
    </row>
    <row r="136" customFormat="false" ht="15" hidden="false" customHeight="false" outlineLevel="0" collapsed="false">
      <c r="A136" s="148" t="n">
        <v>39601</v>
      </c>
      <c r="B136" s="37" t="n">
        <v>159.945922851563</v>
      </c>
    </row>
    <row r="137" customFormat="false" ht="15" hidden="false" customHeight="false" outlineLevel="0" collapsed="false">
      <c r="A137" s="148" t="n">
        <v>39602</v>
      </c>
      <c r="B137" s="37" t="n">
        <v>159.945922851563</v>
      </c>
    </row>
    <row r="138" customFormat="false" ht="15" hidden="false" customHeight="false" outlineLevel="0" collapsed="false">
      <c r="A138" s="148" t="n">
        <v>39603</v>
      </c>
      <c r="B138" s="37" t="n">
        <v>159.945922851563</v>
      </c>
    </row>
    <row r="139" customFormat="false" ht="15" hidden="false" customHeight="false" outlineLevel="0" collapsed="false">
      <c r="A139" s="148" t="n">
        <v>39604</v>
      </c>
      <c r="B139" s="37" t="n">
        <v>159.945922851563</v>
      </c>
    </row>
    <row r="140" customFormat="false" ht="15" hidden="false" customHeight="false" outlineLevel="0" collapsed="false">
      <c r="A140" s="148" t="n">
        <v>39605</v>
      </c>
      <c r="B140" s="37" t="n">
        <v>159.945922851563</v>
      </c>
    </row>
    <row r="141" customFormat="false" ht="15" hidden="false" customHeight="false" outlineLevel="0" collapsed="false">
      <c r="A141" s="148" t="n">
        <v>39608</v>
      </c>
      <c r="B141" s="37" t="n">
        <v>159.945922851563</v>
      </c>
    </row>
    <row r="142" customFormat="false" ht="15" hidden="false" customHeight="false" outlineLevel="0" collapsed="false">
      <c r="A142" s="148" t="n">
        <v>39609</v>
      </c>
      <c r="B142" s="37" t="n">
        <v>159.945922851563</v>
      </c>
    </row>
    <row r="143" customFormat="false" ht="15" hidden="false" customHeight="false" outlineLevel="0" collapsed="false">
      <c r="A143" s="148" t="n">
        <v>39610</v>
      </c>
      <c r="B143" s="37" t="n">
        <v>159.945922851563</v>
      </c>
    </row>
    <row r="144" customFormat="false" ht="15" hidden="false" customHeight="false" outlineLevel="0" collapsed="false">
      <c r="A144" s="148" t="n">
        <v>39611</v>
      </c>
      <c r="B144" s="37" t="n">
        <v>159.945922851563</v>
      </c>
    </row>
    <row r="145" customFormat="false" ht="15" hidden="false" customHeight="false" outlineLevel="0" collapsed="false">
      <c r="A145" s="148" t="n">
        <v>39612</v>
      </c>
      <c r="B145" s="37" t="n">
        <v>159.945922851563</v>
      </c>
    </row>
    <row r="146" customFormat="false" ht="15" hidden="false" customHeight="false" outlineLevel="0" collapsed="false">
      <c r="A146" s="148" t="n">
        <v>39616</v>
      </c>
      <c r="B146" s="37" t="n">
        <v>159.945922851563</v>
      </c>
    </row>
    <row r="147" customFormat="false" ht="15" hidden="false" customHeight="false" outlineLevel="0" collapsed="false">
      <c r="A147" s="148" t="n">
        <v>39617</v>
      </c>
      <c r="B147" s="37" t="n">
        <v>159.945922851563</v>
      </c>
    </row>
    <row r="148" customFormat="false" ht="15" hidden="false" customHeight="false" outlineLevel="0" collapsed="false">
      <c r="A148" s="148" t="n">
        <v>39618</v>
      </c>
      <c r="B148" s="37" t="n">
        <v>159.945922851563</v>
      </c>
    </row>
    <row r="149" customFormat="false" ht="15" hidden="false" customHeight="false" outlineLevel="0" collapsed="false">
      <c r="A149" s="148" t="n">
        <v>39619</v>
      </c>
      <c r="B149" s="37" t="n">
        <v>159.945922851563</v>
      </c>
    </row>
    <row r="150" customFormat="false" ht="15" hidden="false" customHeight="false" outlineLevel="0" collapsed="false">
      <c r="A150" s="148" t="n">
        <v>39622</v>
      </c>
      <c r="B150" s="37" t="n">
        <v>159.945922851563</v>
      </c>
    </row>
    <row r="151" customFormat="false" ht="15" hidden="false" customHeight="false" outlineLevel="0" collapsed="false">
      <c r="A151" s="148" t="n">
        <v>39623</v>
      </c>
      <c r="B151" s="37" t="n">
        <v>159.945922851563</v>
      </c>
    </row>
    <row r="152" customFormat="false" ht="15" hidden="false" customHeight="false" outlineLevel="0" collapsed="false">
      <c r="A152" s="148" t="n">
        <v>39624</v>
      </c>
      <c r="B152" s="37" t="n">
        <v>159.945922851563</v>
      </c>
    </row>
    <row r="153" customFormat="false" ht="15" hidden="false" customHeight="false" outlineLevel="0" collapsed="false">
      <c r="A153" s="148" t="n">
        <v>39625</v>
      </c>
      <c r="B153" s="37" t="n">
        <v>159.945922851563</v>
      </c>
    </row>
    <row r="154" customFormat="false" ht="15" hidden="false" customHeight="false" outlineLevel="0" collapsed="false">
      <c r="A154" s="148" t="n">
        <v>39626</v>
      </c>
      <c r="B154" s="37" t="n">
        <v>159.945922851563</v>
      </c>
    </row>
    <row r="155" customFormat="false" ht="15" hidden="false" customHeight="false" outlineLevel="0" collapsed="false">
      <c r="A155" s="148" t="n">
        <v>39629</v>
      </c>
      <c r="B155" s="37" t="n">
        <v>159.945922851563</v>
      </c>
    </row>
    <row r="156" customFormat="false" ht="15" hidden="false" customHeight="false" outlineLevel="0" collapsed="false">
      <c r="A156" s="148" t="n">
        <v>39630</v>
      </c>
      <c r="B156" s="37" t="n">
        <v>159.945922851563</v>
      </c>
    </row>
    <row r="157" customFormat="false" ht="15" hidden="false" customHeight="false" outlineLevel="0" collapsed="false">
      <c r="A157" s="148" t="n">
        <v>39631</v>
      </c>
      <c r="B157" s="37" t="n">
        <v>159.945922851563</v>
      </c>
    </row>
    <row r="158" customFormat="false" ht="15" hidden="false" customHeight="false" outlineLevel="0" collapsed="false">
      <c r="A158" s="148" t="n">
        <v>39632</v>
      </c>
      <c r="B158" s="37" t="n">
        <v>159.945922851563</v>
      </c>
    </row>
    <row r="159" customFormat="false" ht="15" hidden="false" customHeight="false" outlineLevel="0" collapsed="false">
      <c r="A159" s="148" t="n">
        <v>39633</v>
      </c>
      <c r="B159" s="37" t="n">
        <v>151.948638916016</v>
      </c>
    </row>
    <row r="160" customFormat="false" ht="15" hidden="false" customHeight="false" outlineLevel="0" collapsed="false">
      <c r="A160" s="148" t="n">
        <v>39636</v>
      </c>
      <c r="B160" s="37" t="n">
        <v>151.948638916016</v>
      </c>
    </row>
    <row r="161" customFormat="false" ht="15" hidden="false" customHeight="false" outlineLevel="0" collapsed="false">
      <c r="A161" s="148" t="n">
        <v>39637</v>
      </c>
      <c r="B161" s="37" t="n">
        <v>144.95100402832</v>
      </c>
    </row>
    <row r="162" customFormat="false" ht="15" hidden="false" customHeight="false" outlineLevel="0" collapsed="false">
      <c r="A162" s="148" t="n">
        <v>39638</v>
      </c>
      <c r="B162" s="37" t="n">
        <v>144.95100402832</v>
      </c>
    </row>
    <row r="163" customFormat="false" ht="15" hidden="false" customHeight="false" outlineLevel="0" collapsed="false">
      <c r="A163" s="148" t="n">
        <v>39639</v>
      </c>
      <c r="B163" s="37" t="n">
        <v>144.95100402832</v>
      </c>
    </row>
    <row r="164" customFormat="false" ht="15" hidden="false" customHeight="false" outlineLevel="0" collapsed="false">
      <c r="A164" s="148" t="n">
        <v>39640</v>
      </c>
      <c r="B164" s="37" t="n">
        <v>144.95100402832</v>
      </c>
    </row>
    <row r="165" customFormat="false" ht="15" hidden="false" customHeight="false" outlineLevel="0" collapsed="false">
      <c r="A165" s="148" t="n">
        <v>39643</v>
      </c>
      <c r="B165" s="37" t="n">
        <v>144.95100402832</v>
      </c>
    </row>
    <row r="166" customFormat="false" ht="15" hidden="false" customHeight="false" outlineLevel="0" collapsed="false">
      <c r="A166" s="148" t="n">
        <v>39644</v>
      </c>
      <c r="B166" s="37" t="n">
        <v>144.95100402832</v>
      </c>
    </row>
    <row r="167" customFormat="false" ht="15" hidden="false" customHeight="false" outlineLevel="0" collapsed="false">
      <c r="A167" s="148" t="n">
        <v>39645</v>
      </c>
      <c r="B167" s="37" t="n">
        <v>144.95100402832</v>
      </c>
    </row>
    <row r="168" customFormat="false" ht="15" hidden="false" customHeight="false" outlineLevel="0" collapsed="false">
      <c r="A168" s="148" t="n">
        <v>39646</v>
      </c>
      <c r="B168" s="37" t="n">
        <v>144.95100402832</v>
      </c>
    </row>
    <row r="169" customFormat="false" ht="15" hidden="false" customHeight="false" outlineLevel="0" collapsed="false">
      <c r="A169" s="148" t="n">
        <v>39647</v>
      </c>
      <c r="B169" s="37" t="n">
        <v>141.952011108398</v>
      </c>
    </row>
    <row r="170" customFormat="false" ht="15" hidden="false" customHeight="false" outlineLevel="0" collapsed="false">
      <c r="A170" s="148" t="n">
        <v>39650</v>
      </c>
      <c r="B170" s="37" t="n">
        <v>141.952011108398</v>
      </c>
    </row>
    <row r="171" customFormat="false" ht="15" hidden="false" customHeight="false" outlineLevel="0" collapsed="false">
      <c r="A171" s="148" t="n">
        <v>39651</v>
      </c>
      <c r="B171" s="37" t="n">
        <v>141.952011108398</v>
      </c>
    </row>
    <row r="172" customFormat="false" ht="15" hidden="false" customHeight="false" outlineLevel="0" collapsed="false">
      <c r="A172" s="148" t="n">
        <v>39652</v>
      </c>
      <c r="B172" s="37" t="n">
        <v>137.953369140625</v>
      </c>
    </row>
    <row r="173" customFormat="false" ht="15" hidden="false" customHeight="false" outlineLevel="0" collapsed="false">
      <c r="A173" s="148" t="n">
        <v>39653</v>
      </c>
      <c r="B173" s="37" t="n">
        <v>137.953369140625</v>
      </c>
    </row>
    <row r="174" customFormat="false" ht="15" hidden="false" customHeight="false" outlineLevel="0" collapsed="false">
      <c r="A174" s="148" t="n">
        <v>39654</v>
      </c>
      <c r="B174" s="37" t="n">
        <v>137.953369140625</v>
      </c>
    </row>
    <row r="175" customFormat="false" ht="15" hidden="false" customHeight="false" outlineLevel="0" collapsed="false">
      <c r="A175" s="148" t="n">
        <v>39657</v>
      </c>
      <c r="B175" s="37" t="n">
        <v>137.953369140625</v>
      </c>
    </row>
    <row r="176" customFormat="false" ht="15" hidden="false" customHeight="false" outlineLevel="0" collapsed="false">
      <c r="A176" s="148" t="n">
        <v>39658</v>
      </c>
      <c r="B176" s="37" t="n">
        <v>137.953369140625</v>
      </c>
    </row>
    <row r="177" customFormat="false" ht="15" hidden="false" customHeight="false" outlineLevel="0" collapsed="false">
      <c r="A177" s="148" t="n">
        <v>39659</v>
      </c>
      <c r="B177" s="37" t="n">
        <v>137.953369140625</v>
      </c>
    </row>
    <row r="178" customFormat="false" ht="15" hidden="false" customHeight="false" outlineLevel="0" collapsed="false">
      <c r="A178" s="148" t="n">
        <v>39660</v>
      </c>
      <c r="B178" s="37" t="n">
        <v>135.954040527344</v>
      </c>
    </row>
    <row r="179" customFormat="false" ht="15" hidden="false" customHeight="false" outlineLevel="0" collapsed="false">
      <c r="A179" s="148" t="n">
        <v>39661</v>
      </c>
      <c r="B179" s="37" t="n">
        <v>135.954040527344</v>
      </c>
    </row>
    <row r="180" customFormat="false" ht="15" hidden="false" customHeight="false" outlineLevel="0" collapsed="false">
      <c r="A180" s="148" t="n">
        <v>39664</v>
      </c>
      <c r="B180" s="37" t="n">
        <v>135.954040527344</v>
      </c>
    </row>
    <row r="181" customFormat="false" ht="15" hidden="false" customHeight="false" outlineLevel="0" collapsed="false">
      <c r="A181" s="148" t="n">
        <v>39665</v>
      </c>
      <c r="B181" s="37" t="n">
        <v>135.954040527344</v>
      </c>
    </row>
    <row r="182" customFormat="false" ht="15" hidden="false" customHeight="false" outlineLevel="0" collapsed="false">
      <c r="A182" s="148" t="n">
        <v>39666</v>
      </c>
      <c r="B182" s="37" t="n">
        <v>135.954040527344</v>
      </c>
    </row>
    <row r="183" customFormat="false" ht="15" hidden="false" customHeight="false" outlineLevel="0" collapsed="false">
      <c r="A183" s="148" t="n">
        <v>39667</v>
      </c>
      <c r="B183" s="37" t="n">
        <v>135.954040527344</v>
      </c>
    </row>
    <row r="184" customFormat="false" ht="15" hidden="false" customHeight="false" outlineLevel="0" collapsed="false">
      <c r="A184" s="148" t="n">
        <v>39668</v>
      </c>
      <c r="B184" s="37" t="n">
        <v>135.954040527344</v>
      </c>
    </row>
    <row r="185" customFormat="false" ht="15" hidden="false" customHeight="false" outlineLevel="0" collapsed="false">
      <c r="A185" s="148" t="n">
        <v>39671</v>
      </c>
      <c r="B185" s="37" t="n">
        <v>135.954040527344</v>
      </c>
    </row>
    <row r="186" customFormat="false" ht="15" hidden="false" customHeight="false" outlineLevel="0" collapsed="false">
      <c r="A186" s="148" t="n">
        <v>39672</v>
      </c>
      <c r="B186" s="37" t="n">
        <v>135.954040527344</v>
      </c>
    </row>
    <row r="187" customFormat="false" ht="15" hidden="false" customHeight="false" outlineLevel="0" collapsed="false">
      <c r="A187" s="148" t="n">
        <v>39673</v>
      </c>
      <c r="B187" s="37" t="n">
        <v>135.954040527344</v>
      </c>
    </row>
    <row r="188" customFormat="false" ht="15" hidden="false" customHeight="false" outlineLevel="0" collapsed="false">
      <c r="A188" s="148" t="n">
        <v>39674</v>
      </c>
      <c r="B188" s="37" t="n">
        <v>135.954040527344</v>
      </c>
    </row>
    <row r="189" customFormat="false" ht="15" hidden="false" customHeight="false" outlineLevel="0" collapsed="false">
      <c r="A189" s="148" t="n">
        <v>39675</v>
      </c>
      <c r="B189" s="37" t="n">
        <v>136.953704833984</v>
      </c>
    </row>
    <row r="190" customFormat="false" ht="15" hidden="false" customHeight="false" outlineLevel="0" collapsed="false">
      <c r="A190" s="148" t="n">
        <v>39678</v>
      </c>
      <c r="B190" s="37" t="n">
        <v>136.953704833984</v>
      </c>
    </row>
    <row r="191" customFormat="false" ht="15" hidden="false" customHeight="false" outlineLevel="0" collapsed="false">
      <c r="A191" s="148" t="n">
        <v>39679</v>
      </c>
      <c r="B191" s="37" t="n">
        <v>136.953704833984</v>
      </c>
    </row>
    <row r="192" customFormat="false" ht="15" hidden="false" customHeight="false" outlineLevel="0" collapsed="false">
      <c r="A192" s="148" t="n">
        <v>39680</v>
      </c>
      <c r="B192" s="37" t="n">
        <v>136.953704833984</v>
      </c>
    </row>
    <row r="193" customFormat="false" ht="15" hidden="false" customHeight="false" outlineLevel="0" collapsed="false">
      <c r="A193" s="148" t="n">
        <v>39681</v>
      </c>
      <c r="B193" s="37" t="n">
        <v>129.956069946289</v>
      </c>
    </row>
    <row r="194" customFormat="false" ht="15" hidden="false" customHeight="false" outlineLevel="0" collapsed="false">
      <c r="A194" s="148" t="n">
        <v>39682</v>
      </c>
      <c r="B194" s="37" t="n">
        <v>129.956069946289</v>
      </c>
    </row>
    <row r="195" customFormat="false" ht="15" hidden="false" customHeight="false" outlineLevel="0" collapsed="false">
      <c r="A195" s="148" t="n">
        <v>39685</v>
      </c>
      <c r="B195" s="37" t="n">
        <v>129.956069946289</v>
      </c>
    </row>
    <row r="196" customFormat="false" ht="15" hidden="false" customHeight="false" outlineLevel="0" collapsed="false">
      <c r="A196" s="148" t="n">
        <v>39686</v>
      </c>
      <c r="B196" s="37" t="n">
        <v>129.956069946289</v>
      </c>
    </row>
    <row r="197" customFormat="false" ht="15" hidden="false" customHeight="false" outlineLevel="0" collapsed="false">
      <c r="A197" s="148" t="n">
        <v>39687</v>
      </c>
      <c r="B197" s="37" t="n">
        <v>129.956069946289</v>
      </c>
    </row>
    <row r="198" customFormat="false" ht="15" hidden="false" customHeight="false" outlineLevel="0" collapsed="false">
      <c r="A198" s="148" t="n">
        <v>39688</v>
      </c>
      <c r="B198" s="37" t="n">
        <v>129.956069946289</v>
      </c>
    </row>
    <row r="199" customFormat="false" ht="15" hidden="false" customHeight="false" outlineLevel="0" collapsed="false">
      <c r="A199" s="148" t="n">
        <v>39689</v>
      </c>
      <c r="B199" s="37" t="n">
        <v>124.957763671875</v>
      </c>
    </row>
    <row r="200" customFormat="false" ht="15" hidden="false" customHeight="false" outlineLevel="0" collapsed="false">
      <c r="A200" s="148" t="n">
        <v>39692</v>
      </c>
      <c r="B200" s="37" t="n">
        <v>124.957763671875</v>
      </c>
    </row>
    <row r="201" customFormat="false" ht="15" hidden="false" customHeight="false" outlineLevel="0" collapsed="false">
      <c r="A201" s="148" t="n">
        <v>39693</v>
      </c>
      <c r="B201" s="37" t="n">
        <v>124.957763671875</v>
      </c>
    </row>
    <row r="202" customFormat="false" ht="15" hidden="false" customHeight="false" outlineLevel="0" collapsed="false">
      <c r="A202" s="148" t="n">
        <v>39694</v>
      </c>
      <c r="B202" s="37" t="n">
        <v>124.957763671875</v>
      </c>
    </row>
    <row r="203" customFormat="false" ht="15" hidden="false" customHeight="false" outlineLevel="0" collapsed="false">
      <c r="A203" s="148" t="n">
        <v>39695</v>
      </c>
      <c r="B203" s="37" t="n">
        <v>124.957763671875</v>
      </c>
    </row>
    <row r="204" customFormat="false" ht="15" hidden="false" customHeight="false" outlineLevel="0" collapsed="false">
      <c r="A204" s="148" t="n">
        <v>39696</v>
      </c>
      <c r="B204" s="37" t="n">
        <v>124.957763671875</v>
      </c>
    </row>
    <row r="205" customFormat="false" ht="15" hidden="false" customHeight="false" outlineLevel="0" collapsed="false">
      <c r="A205" s="148" t="n">
        <v>39699</v>
      </c>
      <c r="B205" s="37" t="n">
        <v>124.957763671875</v>
      </c>
    </row>
    <row r="206" customFormat="false" ht="15" hidden="false" customHeight="false" outlineLevel="0" collapsed="false">
      <c r="A206" s="148" t="n">
        <v>39700</v>
      </c>
      <c r="B206" s="37" t="n">
        <v>124.957763671875</v>
      </c>
    </row>
    <row r="207" customFormat="false" ht="15" hidden="false" customHeight="false" outlineLevel="0" collapsed="false">
      <c r="A207" s="148" t="n">
        <v>39701</v>
      </c>
      <c r="B207" s="37" t="n">
        <v>124.957763671875</v>
      </c>
    </row>
    <row r="208" customFormat="false" ht="15" hidden="false" customHeight="false" outlineLevel="0" collapsed="false">
      <c r="A208" s="148" t="n">
        <v>39702</v>
      </c>
      <c r="B208" s="37" t="n">
        <v>119.959449768066</v>
      </c>
    </row>
    <row r="209" customFormat="false" ht="15" hidden="false" customHeight="false" outlineLevel="0" collapsed="false">
      <c r="A209" s="148" t="n">
        <v>39703</v>
      </c>
      <c r="B209" s="37" t="n">
        <v>119.959449768066</v>
      </c>
    </row>
    <row r="210" customFormat="false" ht="15" hidden="false" customHeight="false" outlineLevel="0" collapsed="false">
      <c r="A210" s="148" t="n">
        <v>39706</v>
      </c>
      <c r="B210" s="37" t="n">
        <v>119.959449768066</v>
      </c>
    </row>
    <row r="211" customFormat="false" ht="15" hidden="false" customHeight="false" outlineLevel="0" collapsed="false">
      <c r="A211" s="148" t="n">
        <v>39707</v>
      </c>
      <c r="B211" s="37" t="n">
        <v>119.959449768066</v>
      </c>
    </row>
    <row r="212" customFormat="false" ht="15" hidden="false" customHeight="false" outlineLevel="0" collapsed="false">
      <c r="A212" s="148" t="n">
        <v>39708</v>
      </c>
      <c r="B212" s="37" t="n">
        <v>99.9662017822266</v>
      </c>
    </row>
    <row r="213" customFormat="false" ht="15" hidden="false" customHeight="false" outlineLevel="0" collapsed="false">
      <c r="A213" s="148" t="n">
        <v>39709</v>
      </c>
      <c r="B213" s="37" t="n">
        <v>99.9662017822266</v>
      </c>
    </row>
    <row r="214" customFormat="false" ht="15" hidden="false" customHeight="false" outlineLevel="0" collapsed="false">
      <c r="A214" s="148" t="n">
        <v>39710</v>
      </c>
      <c r="B214" s="37" t="n">
        <v>99.9662017822266</v>
      </c>
    </row>
    <row r="215" customFormat="false" ht="15" hidden="false" customHeight="false" outlineLevel="0" collapsed="false">
      <c r="A215" s="148" t="n">
        <v>39713</v>
      </c>
      <c r="B215" s="37" t="n">
        <v>99.9662017822266</v>
      </c>
    </row>
    <row r="216" customFormat="false" ht="15" hidden="false" customHeight="false" outlineLevel="0" collapsed="false">
      <c r="A216" s="148" t="n">
        <v>39714</v>
      </c>
      <c r="B216" s="37" t="n">
        <v>99.9662017822266</v>
      </c>
    </row>
    <row r="217" customFormat="false" ht="15" hidden="false" customHeight="false" outlineLevel="0" collapsed="false">
      <c r="A217" s="148" t="n">
        <v>39716</v>
      </c>
      <c r="B217" s="37" t="n">
        <v>99.9662017822266</v>
      </c>
    </row>
    <row r="218" customFormat="false" ht="15" hidden="false" customHeight="false" outlineLevel="0" collapsed="false">
      <c r="A218" s="148" t="n">
        <v>39717</v>
      </c>
      <c r="B218" s="37" t="n">
        <v>99.9662017822266</v>
      </c>
    </row>
    <row r="219" customFormat="false" ht="15" hidden="false" customHeight="false" outlineLevel="0" collapsed="false">
      <c r="A219" s="148" t="n">
        <v>39720</v>
      </c>
      <c r="B219" s="37" t="n">
        <v>80.9726257324219</v>
      </c>
    </row>
    <row r="220" customFormat="false" ht="15" hidden="false" customHeight="false" outlineLevel="0" collapsed="false">
      <c r="A220" s="148" t="n">
        <v>39721</v>
      </c>
      <c r="B220" s="37" t="n">
        <v>79.9729614257813</v>
      </c>
    </row>
    <row r="221" customFormat="false" ht="15" hidden="false" customHeight="false" outlineLevel="0" collapsed="false">
      <c r="A221" s="148" t="n">
        <v>39722</v>
      </c>
      <c r="B221" s="37" t="n">
        <v>74.9746551513672</v>
      </c>
    </row>
    <row r="222" customFormat="false" ht="15" hidden="false" customHeight="false" outlineLevel="0" collapsed="false">
      <c r="A222" s="148" t="n">
        <v>39723</v>
      </c>
      <c r="B222" s="37" t="n">
        <v>74.9746551513672</v>
      </c>
    </row>
    <row r="223" customFormat="false" ht="15" hidden="false" customHeight="false" outlineLevel="0" collapsed="false">
      <c r="A223" s="148" t="n">
        <v>39724</v>
      </c>
      <c r="B223" s="37" t="n">
        <v>74.9746551513672</v>
      </c>
    </row>
    <row r="224" customFormat="false" ht="15" hidden="false" customHeight="false" outlineLevel="0" collapsed="false">
      <c r="A224" s="148" t="n">
        <v>39727</v>
      </c>
      <c r="B224" s="37" t="n">
        <v>74.9746551513672</v>
      </c>
    </row>
    <row r="225" customFormat="false" ht="15" hidden="false" customHeight="false" outlineLevel="0" collapsed="false">
      <c r="A225" s="148" t="n">
        <v>39728</v>
      </c>
      <c r="B225" s="37" t="n">
        <v>69.9763412475586</v>
      </c>
    </row>
    <row r="226" customFormat="false" ht="15" hidden="false" customHeight="false" outlineLevel="0" collapsed="false">
      <c r="A226" s="148" t="n">
        <v>39729</v>
      </c>
      <c r="B226" s="37" t="n">
        <v>69.9763412475586</v>
      </c>
    </row>
    <row r="227" customFormat="false" ht="15" hidden="false" customHeight="false" outlineLevel="0" collapsed="false">
      <c r="A227" s="148" t="n">
        <v>39730</v>
      </c>
      <c r="B227" s="37" t="n">
        <v>69.9763412475586</v>
      </c>
    </row>
    <row r="228" customFormat="false" ht="15" hidden="false" customHeight="false" outlineLevel="0" collapsed="false">
      <c r="A228" s="148" t="n">
        <v>39731</v>
      </c>
      <c r="B228" s="37" t="n">
        <v>69.9763412475586</v>
      </c>
    </row>
    <row r="229" customFormat="false" ht="15" hidden="false" customHeight="false" outlineLevel="0" collapsed="false">
      <c r="A229" s="148" t="n">
        <v>39734</v>
      </c>
      <c r="B229" s="37" t="n">
        <v>69.9763412475586</v>
      </c>
    </row>
    <row r="230" customFormat="false" ht="15" hidden="false" customHeight="false" outlineLevel="0" collapsed="false">
      <c r="A230" s="148" t="n">
        <v>39735</v>
      </c>
      <c r="B230" s="37" t="n">
        <v>69.9763412475586</v>
      </c>
    </row>
    <row r="231" customFormat="false" ht="15" hidden="false" customHeight="false" outlineLevel="0" collapsed="false">
      <c r="A231" s="148" t="n">
        <v>39736</v>
      </c>
      <c r="B231" s="37" t="n">
        <v>77.9736404418945</v>
      </c>
    </row>
    <row r="232" customFormat="false" ht="15" hidden="false" customHeight="false" outlineLevel="0" collapsed="false">
      <c r="A232" s="148" t="n">
        <v>39737</v>
      </c>
      <c r="B232" s="37" t="n">
        <v>77.9736404418945</v>
      </c>
    </row>
    <row r="233" customFormat="false" ht="15" hidden="false" customHeight="false" outlineLevel="0" collapsed="false">
      <c r="A233" s="148" t="n">
        <v>39738</v>
      </c>
      <c r="B233" s="37" t="n">
        <v>77.9736404418945</v>
      </c>
    </row>
    <row r="234" customFormat="false" ht="15" hidden="false" customHeight="false" outlineLevel="0" collapsed="false">
      <c r="A234" s="148" t="n">
        <v>39741</v>
      </c>
      <c r="B234" s="37" t="n">
        <v>77.9736404418945</v>
      </c>
    </row>
    <row r="235" customFormat="false" ht="15" hidden="false" customHeight="false" outlineLevel="0" collapsed="false">
      <c r="A235" s="148" t="n">
        <v>39742</v>
      </c>
      <c r="B235" s="37" t="n">
        <v>77.9736404418945</v>
      </c>
    </row>
    <row r="236" customFormat="false" ht="15" hidden="false" customHeight="false" outlineLevel="0" collapsed="false">
      <c r="A236" s="148" t="n">
        <v>39743</v>
      </c>
      <c r="B236" s="37" t="n">
        <v>69.9763412475586</v>
      </c>
    </row>
    <row r="237" customFormat="false" ht="15" hidden="false" customHeight="false" outlineLevel="0" collapsed="false">
      <c r="A237" s="148" t="n">
        <v>39744</v>
      </c>
      <c r="B237" s="37" t="n">
        <v>69.9763412475586</v>
      </c>
    </row>
    <row r="238" customFormat="false" ht="15" hidden="false" customHeight="false" outlineLevel="0" collapsed="false">
      <c r="A238" s="148" t="n">
        <v>39745</v>
      </c>
      <c r="B238" s="37" t="n">
        <v>69.9763412475586</v>
      </c>
    </row>
    <row r="239" customFormat="false" ht="15" hidden="false" customHeight="false" outlineLevel="0" collapsed="false">
      <c r="A239" s="148" t="n">
        <v>39748</v>
      </c>
      <c r="B239" s="37" t="n">
        <v>64.9780349731445</v>
      </c>
    </row>
    <row r="240" customFormat="false" ht="15" hidden="false" customHeight="false" outlineLevel="0" collapsed="false">
      <c r="A240" s="148" t="n">
        <v>39749</v>
      </c>
      <c r="B240" s="37" t="n">
        <v>74.9746551513672</v>
      </c>
    </row>
    <row r="241" customFormat="false" ht="15" hidden="false" customHeight="false" outlineLevel="0" collapsed="false">
      <c r="A241" s="148" t="n">
        <v>39750</v>
      </c>
      <c r="B241" s="37" t="n">
        <v>74.9746551513672</v>
      </c>
    </row>
    <row r="242" customFormat="false" ht="15" hidden="false" customHeight="false" outlineLevel="0" collapsed="false">
      <c r="A242" s="148" t="n">
        <v>39751</v>
      </c>
      <c r="B242" s="37" t="n">
        <v>74.9746551513672</v>
      </c>
    </row>
    <row r="243" customFormat="false" ht="15" hidden="false" customHeight="false" outlineLevel="0" collapsed="false">
      <c r="A243" s="148" t="n">
        <v>39752</v>
      </c>
      <c r="B243" s="37" t="n">
        <v>74.9746551513672</v>
      </c>
    </row>
    <row r="244" customFormat="false" ht="15" hidden="false" customHeight="false" outlineLevel="0" collapsed="false">
      <c r="A244" s="148" t="n">
        <v>39755</v>
      </c>
      <c r="B244" s="37" t="n">
        <v>74.9746551513672</v>
      </c>
    </row>
    <row r="245" customFormat="false" ht="15" hidden="false" customHeight="false" outlineLevel="0" collapsed="false">
      <c r="A245" s="148" t="n">
        <v>39756</v>
      </c>
      <c r="B245" s="37" t="n">
        <v>74.9746551513672</v>
      </c>
    </row>
    <row r="246" customFormat="false" ht="15" hidden="false" customHeight="false" outlineLevel="0" collapsed="false">
      <c r="A246" s="148" t="n">
        <v>39757</v>
      </c>
      <c r="B246" s="37" t="n">
        <v>74.9746551513672</v>
      </c>
    </row>
    <row r="247" customFormat="false" ht="15" hidden="false" customHeight="false" outlineLevel="0" collapsed="false">
      <c r="A247" s="148" t="n">
        <v>39758</v>
      </c>
      <c r="B247" s="37" t="n">
        <v>74.9746551513672</v>
      </c>
    </row>
    <row r="248" customFormat="false" ht="15" hidden="false" customHeight="false" outlineLevel="0" collapsed="false">
      <c r="A248" s="148" t="n">
        <v>39759</v>
      </c>
      <c r="B248" s="37" t="n">
        <v>74.9746551513672</v>
      </c>
    </row>
    <row r="249" customFormat="false" ht="15" hidden="false" customHeight="false" outlineLevel="0" collapsed="false">
      <c r="A249" s="148" t="n">
        <v>39762</v>
      </c>
      <c r="B249" s="37" t="n">
        <v>74.9746551513672</v>
      </c>
    </row>
    <row r="250" customFormat="false" ht="15" hidden="false" customHeight="false" outlineLevel="0" collapsed="false">
      <c r="A250" s="148" t="n">
        <v>39763</v>
      </c>
      <c r="B250" s="37" t="n">
        <v>74.9746551513672</v>
      </c>
    </row>
    <row r="251" customFormat="false" ht="15" hidden="false" customHeight="false" outlineLevel="0" collapsed="false">
      <c r="A251" s="148" t="n">
        <v>39764</v>
      </c>
      <c r="B251" s="37" t="n">
        <v>74.9746551513672</v>
      </c>
    </row>
    <row r="252" customFormat="false" ht="15" hidden="false" customHeight="false" outlineLevel="0" collapsed="false">
      <c r="A252" s="148" t="n">
        <v>39765</v>
      </c>
      <c r="B252" s="37" t="n">
        <v>68.9766845703125</v>
      </c>
    </row>
    <row r="253" customFormat="false" ht="15" hidden="false" customHeight="false" outlineLevel="0" collapsed="false">
      <c r="A253" s="148" t="n">
        <v>39766</v>
      </c>
      <c r="B253" s="37" t="n">
        <v>68.9766845703125</v>
      </c>
    </row>
    <row r="254" customFormat="false" ht="15" hidden="false" customHeight="false" outlineLevel="0" collapsed="false">
      <c r="A254" s="148" t="n">
        <v>39769</v>
      </c>
      <c r="B254" s="37" t="n">
        <v>68.9766845703125</v>
      </c>
    </row>
    <row r="255" customFormat="false" ht="15" hidden="false" customHeight="false" outlineLevel="0" collapsed="false">
      <c r="A255" s="148" t="n">
        <v>39770</v>
      </c>
      <c r="B255" s="37" t="n">
        <v>68.9766845703125</v>
      </c>
    </row>
    <row r="256" customFormat="false" ht="15" hidden="false" customHeight="false" outlineLevel="0" collapsed="false">
      <c r="A256" s="148" t="n">
        <v>39771</v>
      </c>
      <c r="B256" s="37" t="n">
        <v>68.9766845703125</v>
      </c>
    </row>
    <row r="257" customFormat="false" ht="15" hidden="false" customHeight="false" outlineLevel="0" collapsed="false">
      <c r="A257" s="148" t="n">
        <v>39772</v>
      </c>
      <c r="B257" s="37" t="n">
        <v>58.9800605773926</v>
      </c>
    </row>
    <row r="258" customFormat="false" ht="15" hidden="false" customHeight="false" outlineLevel="0" collapsed="false">
      <c r="A258" s="148" t="n">
        <v>39773</v>
      </c>
      <c r="B258" s="37" t="n">
        <v>58.9800605773926</v>
      </c>
    </row>
    <row r="259" customFormat="false" ht="15" hidden="false" customHeight="false" outlineLevel="0" collapsed="false">
      <c r="A259" s="148" t="n">
        <v>39776</v>
      </c>
      <c r="B259" s="37" t="n">
        <v>58.9800605773926</v>
      </c>
    </row>
    <row r="260" customFormat="false" ht="15" hidden="false" customHeight="false" outlineLevel="0" collapsed="false">
      <c r="A260" s="148" t="n">
        <v>39777</v>
      </c>
      <c r="B260" s="37" t="n">
        <v>48.9834403991699</v>
      </c>
    </row>
    <row r="261" customFormat="false" ht="15" hidden="false" customHeight="false" outlineLevel="0" collapsed="false">
      <c r="A261" s="148" t="n">
        <v>39778</v>
      </c>
      <c r="B261" s="37" t="n">
        <v>46.9841194152832</v>
      </c>
    </row>
    <row r="262" customFormat="false" ht="15" hidden="false" customHeight="false" outlineLevel="0" collapsed="false">
      <c r="A262" s="148" t="n">
        <v>39779</v>
      </c>
      <c r="B262" s="37" t="n">
        <v>48.9834403991699</v>
      </c>
    </row>
    <row r="263" customFormat="false" ht="15" hidden="false" customHeight="false" outlineLevel="0" collapsed="false">
      <c r="A263" s="148" t="n">
        <v>39780</v>
      </c>
      <c r="B263" s="37" t="n">
        <v>47.9837799072266</v>
      </c>
    </row>
    <row r="264" customFormat="false" ht="15" hidden="false" customHeight="false" outlineLevel="0" collapsed="false">
      <c r="A264" s="148" t="n">
        <v>39783</v>
      </c>
      <c r="B264" s="37" t="n">
        <v>44.984790802002</v>
      </c>
    </row>
    <row r="265" customFormat="false" ht="15" hidden="false" customHeight="false" outlineLevel="0" collapsed="false">
      <c r="A265" s="148" t="n">
        <v>39784</v>
      </c>
      <c r="B265" s="37" t="n">
        <v>39.9864807128906</v>
      </c>
    </row>
    <row r="266" customFormat="false" ht="15" hidden="false" customHeight="false" outlineLevel="0" collapsed="false">
      <c r="A266" s="148" t="n">
        <v>39785</v>
      </c>
      <c r="B266" s="37" t="n">
        <v>37.9871597290039</v>
      </c>
    </row>
    <row r="267" customFormat="false" ht="15" hidden="false" customHeight="false" outlineLevel="0" collapsed="false">
      <c r="A267" s="148" t="n">
        <v>39786</v>
      </c>
      <c r="B267" s="37" t="n">
        <v>49.9831008911133</v>
      </c>
    </row>
    <row r="268" customFormat="false" ht="15" hidden="false" customHeight="false" outlineLevel="0" collapsed="false">
      <c r="A268" s="148" t="n">
        <v>39787</v>
      </c>
      <c r="B268" s="37" t="n">
        <v>54.9814147949219</v>
      </c>
    </row>
    <row r="269" customFormat="false" ht="15" hidden="false" customHeight="false" outlineLevel="0" collapsed="false">
      <c r="A269" s="148" t="n">
        <v>39790</v>
      </c>
      <c r="B269" s="37" t="n">
        <v>54.9814147949219</v>
      </c>
    </row>
    <row r="270" customFormat="false" ht="15" hidden="false" customHeight="false" outlineLevel="0" collapsed="false">
      <c r="A270" s="148" t="n">
        <v>39791</v>
      </c>
      <c r="B270" s="37" t="n">
        <v>53.9817504882813</v>
      </c>
    </row>
    <row r="271" customFormat="false" ht="15" hidden="false" customHeight="false" outlineLevel="0" collapsed="false">
      <c r="A271" s="148" t="n">
        <v>39792</v>
      </c>
      <c r="B271" s="37" t="n">
        <v>54.9814147949219</v>
      </c>
    </row>
    <row r="272" customFormat="false" ht="15" hidden="false" customHeight="false" outlineLevel="0" collapsed="false">
      <c r="A272" s="148" t="n">
        <v>39793</v>
      </c>
      <c r="B272" s="37" t="n">
        <v>49.9831008911133</v>
      </c>
    </row>
    <row r="273" customFormat="false" ht="15" hidden="false" customHeight="false" outlineLevel="0" collapsed="false">
      <c r="A273" s="148" t="n">
        <v>39794</v>
      </c>
      <c r="B273" s="37" t="n">
        <v>54.9814147949219</v>
      </c>
    </row>
    <row r="274" customFormat="false" ht="15" hidden="false" customHeight="false" outlineLevel="0" collapsed="false">
      <c r="A274" s="148" t="n">
        <v>39797</v>
      </c>
      <c r="B274" s="37" t="n">
        <v>54.9814147949219</v>
      </c>
    </row>
    <row r="275" customFormat="false" ht="15" hidden="false" customHeight="false" outlineLevel="0" collapsed="false">
      <c r="A275" s="148" t="n">
        <v>39799</v>
      </c>
      <c r="B275" s="37" t="n">
        <v>54.9814147949219</v>
      </c>
    </row>
    <row r="276" customFormat="false" ht="15" hidden="false" customHeight="false" outlineLevel="0" collapsed="false">
      <c r="A276" s="148" t="n">
        <v>39800</v>
      </c>
      <c r="B276" s="37" t="n">
        <v>54.9814147949219</v>
      </c>
    </row>
    <row r="277" customFormat="false" ht="15" hidden="false" customHeight="false" outlineLevel="0" collapsed="false">
      <c r="A277" s="148" t="n">
        <v>39801</v>
      </c>
      <c r="B277" s="37" t="n">
        <v>54.9814147949219</v>
      </c>
    </row>
    <row r="278" customFormat="false" ht="15" hidden="false" customHeight="false" outlineLevel="0" collapsed="false">
      <c r="A278" s="148" t="n">
        <v>39804</v>
      </c>
      <c r="B278" s="37" t="n">
        <v>54.9814147949219</v>
      </c>
    </row>
    <row r="279" customFormat="false" ht="15" hidden="false" customHeight="false" outlineLevel="0" collapsed="false">
      <c r="A279" s="148" t="n">
        <v>39805</v>
      </c>
      <c r="B279" s="37" t="n">
        <v>54.9814147949219</v>
      </c>
    </row>
    <row r="280" customFormat="false" ht="15" hidden="false" customHeight="false" outlineLevel="0" collapsed="false">
      <c r="A280" s="148" t="n">
        <v>39806</v>
      </c>
      <c r="B280" s="37" t="n">
        <v>54.9814147949219</v>
      </c>
    </row>
    <row r="281" customFormat="false" ht="15" hidden="false" customHeight="false" outlineLevel="0" collapsed="false">
      <c r="A281" s="148" t="n">
        <v>39811</v>
      </c>
      <c r="B281" s="37" t="n">
        <v>49.9831008911133</v>
      </c>
    </row>
    <row r="282" customFormat="false" ht="15" hidden="false" customHeight="false" outlineLevel="0" collapsed="false">
      <c r="A282" s="148" t="n">
        <v>39812</v>
      </c>
      <c r="B282" s="37" t="n">
        <v>49.9831008911133</v>
      </c>
    </row>
    <row r="283" customFormat="false" ht="15" hidden="false" customHeight="false" outlineLevel="0" collapsed="false">
      <c r="A283" s="148" t="n">
        <v>39813</v>
      </c>
      <c r="B283" s="37" t="n">
        <v>49.9831008911133</v>
      </c>
    </row>
    <row r="284" customFormat="false" ht="15" hidden="false" customHeight="false" outlineLevel="0" collapsed="false">
      <c r="A284" s="148" t="n">
        <v>39815</v>
      </c>
      <c r="B284" s="37" t="n">
        <v>49.9831008911133</v>
      </c>
    </row>
    <row r="285" customFormat="false" ht="15" hidden="false" customHeight="false" outlineLevel="0" collapsed="false">
      <c r="A285" s="148" t="n">
        <v>39818</v>
      </c>
      <c r="B285" s="37" t="n">
        <v>49.9831008911133</v>
      </c>
    </row>
    <row r="286" customFormat="false" ht="15" hidden="false" customHeight="false" outlineLevel="0" collapsed="false">
      <c r="A286" s="148" t="n">
        <v>39819</v>
      </c>
      <c r="B286" s="37" t="n">
        <v>54.9814147949219</v>
      </c>
    </row>
    <row r="287" customFormat="false" ht="15" hidden="false" customHeight="false" outlineLevel="0" collapsed="false">
      <c r="A287" s="148" t="n">
        <v>39820</v>
      </c>
      <c r="B287" s="37" t="n">
        <v>58.9800605773926</v>
      </c>
    </row>
    <row r="288" customFormat="false" ht="15" hidden="false" customHeight="false" outlineLevel="0" collapsed="false">
      <c r="A288" s="148" t="n">
        <v>39821</v>
      </c>
      <c r="B288" s="37" t="n">
        <v>58.9800605773926</v>
      </c>
    </row>
    <row r="289" customFormat="false" ht="15" hidden="false" customHeight="false" outlineLevel="0" collapsed="false">
      <c r="A289" s="148" t="n">
        <v>39822</v>
      </c>
      <c r="B289" s="37" t="n">
        <v>61.9790496826172</v>
      </c>
    </row>
    <row r="290" customFormat="false" ht="15" hidden="false" customHeight="false" outlineLevel="0" collapsed="false">
      <c r="A290" s="148" t="n">
        <v>39825</v>
      </c>
      <c r="B290" s="37" t="n">
        <v>63.9783706665039</v>
      </c>
    </row>
    <row r="291" customFormat="false" ht="15" hidden="false" customHeight="false" outlineLevel="0" collapsed="false">
      <c r="A291" s="148" t="n">
        <v>39826</v>
      </c>
      <c r="B291" s="37" t="n">
        <v>63.9783706665039</v>
      </c>
    </row>
    <row r="292" customFormat="false" ht="15" hidden="false" customHeight="false" outlineLevel="0" collapsed="false">
      <c r="A292" s="148" t="n">
        <v>39827</v>
      </c>
      <c r="B292" s="37" t="n">
        <v>64.9780349731445</v>
      </c>
    </row>
    <row r="293" customFormat="false" ht="15" hidden="false" customHeight="false" outlineLevel="0" collapsed="false">
      <c r="A293" s="148" t="n">
        <v>39828</v>
      </c>
      <c r="B293" s="37" t="n">
        <v>64.9780349731445</v>
      </c>
    </row>
    <row r="294" customFormat="false" ht="15" hidden="false" customHeight="false" outlineLevel="0" collapsed="false">
      <c r="A294" s="148" t="n">
        <v>39829</v>
      </c>
      <c r="B294" s="37" t="n">
        <v>63.9783706665039</v>
      </c>
    </row>
    <row r="295" customFormat="false" ht="15" hidden="false" customHeight="false" outlineLevel="0" collapsed="false">
      <c r="A295" s="148" t="n">
        <v>39832</v>
      </c>
      <c r="B295" s="37" t="n">
        <v>63.9783706665039</v>
      </c>
    </row>
    <row r="296" customFormat="false" ht="15" hidden="false" customHeight="false" outlineLevel="0" collapsed="false">
      <c r="A296" s="148" t="n">
        <v>39833</v>
      </c>
      <c r="B296" s="37" t="n">
        <v>63.9783706665039</v>
      </c>
    </row>
    <row r="297" customFormat="false" ht="15" hidden="false" customHeight="false" outlineLevel="0" collapsed="false">
      <c r="A297" s="148" t="n">
        <v>39834</v>
      </c>
      <c r="B297" s="37" t="n">
        <v>69.9763412475586</v>
      </c>
    </row>
    <row r="298" customFormat="false" ht="15" hidden="false" customHeight="false" outlineLevel="0" collapsed="false">
      <c r="A298" s="148" t="n">
        <v>39835</v>
      </c>
      <c r="B298" s="37" t="n">
        <v>69.9763412475586</v>
      </c>
    </row>
    <row r="299" customFormat="false" ht="15" hidden="false" customHeight="false" outlineLevel="0" collapsed="false">
      <c r="A299" s="148" t="n">
        <v>39836</v>
      </c>
      <c r="B299" s="37" t="n">
        <v>69.9763412475586</v>
      </c>
    </row>
    <row r="300" customFormat="false" ht="15" hidden="false" customHeight="false" outlineLevel="0" collapsed="false">
      <c r="A300" s="148" t="n">
        <v>39839</v>
      </c>
      <c r="B300" s="37" t="n">
        <v>71.9756698608398</v>
      </c>
    </row>
    <row r="301" customFormat="false" ht="15" hidden="false" customHeight="false" outlineLevel="0" collapsed="false">
      <c r="A301" s="148" t="n">
        <v>39840</v>
      </c>
      <c r="B301" s="37" t="n">
        <v>77.9736404418945</v>
      </c>
    </row>
    <row r="302" customFormat="false" ht="15" hidden="false" customHeight="false" outlineLevel="0" collapsed="false">
      <c r="A302" s="148" t="n">
        <v>39841</v>
      </c>
      <c r="B302" s="37" t="n">
        <v>80.9726257324219</v>
      </c>
    </row>
    <row r="303" customFormat="false" ht="15" hidden="false" customHeight="false" outlineLevel="0" collapsed="false">
      <c r="A303" s="148" t="n">
        <v>39842</v>
      </c>
      <c r="B303" s="37" t="n">
        <v>84.9712753295898</v>
      </c>
    </row>
    <row r="304" customFormat="false" ht="15" hidden="false" customHeight="false" outlineLevel="0" collapsed="false">
      <c r="A304" s="148" t="n">
        <v>39843</v>
      </c>
      <c r="B304" s="37" t="n">
        <v>84.9712753295898</v>
      </c>
    </row>
    <row r="305" customFormat="false" ht="15" hidden="false" customHeight="false" outlineLevel="0" collapsed="false">
      <c r="A305" s="148" t="n">
        <v>39846</v>
      </c>
      <c r="B305" s="37" t="n">
        <v>79.9729614257813</v>
      </c>
    </row>
    <row r="306" customFormat="false" ht="15" hidden="false" customHeight="false" outlineLevel="0" collapsed="false">
      <c r="A306" s="148" t="n">
        <v>39847</v>
      </c>
      <c r="B306" s="37" t="n">
        <v>79.9729614257813</v>
      </c>
    </row>
    <row r="307" customFormat="false" ht="15" hidden="false" customHeight="false" outlineLevel="0" collapsed="false">
      <c r="A307" s="148" t="n">
        <v>39848</v>
      </c>
      <c r="B307" s="37" t="n">
        <v>79.9729614257813</v>
      </c>
    </row>
    <row r="308" customFormat="false" ht="15" hidden="false" customHeight="false" outlineLevel="0" collapsed="false">
      <c r="A308" s="148" t="n">
        <v>39849</v>
      </c>
      <c r="B308" s="37" t="n">
        <v>69.9763412475586</v>
      </c>
    </row>
    <row r="309" customFormat="false" ht="15" hidden="false" customHeight="false" outlineLevel="0" collapsed="false">
      <c r="A309" s="148" t="n">
        <v>39850</v>
      </c>
      <c r="B309" s="37" t="n">
        <v>69.9763412475586</v>
      </c>
    </row>
    <row r="310" customFormat="false" ht="15" hidden="false" customHeight="false" outlineLevel="0" collapsed="false">
      <c r="A310" s="148" t="n">
        <v>39853</v>
      </c>
      <c r="B310" s="37" t="n">
        <v>69.9763412475586</v>
      </c>
    </row>
    <row r="311" customFormat="false" ht="15" hidden="false" customHeight="false" outlineLevel="0" collapsed="false">
      <c r="A311" s="148" t="n">
        <v>39854</v>
      </c>
      <c r="B311" s="37" t="n">
        <v>59.9797248840332</v>
      </c>
    </row>
    <row r="312" customFormat="false" ht="15" hidden="false" customHeight="false" outlineLevel="0" collapsed="false">
      <c r="A312" s="148" t="n">
        <v>39855</v>
      </c>
      <c r="B312" s="37" t="n">
        <v>69.9763412475586</v>
      </c>
    </row>
    <row r="313" customFormat="false" ht="15" hidden="false" customHeight="false" outlineLevel="0" collapsed="false">
      <c r="A313" s="148" t="n">
        <v>39856</v>
      </c>
      <c r="B313" s="37" t="n">
        <v>69.9763412475586</v>
      </c>
    </row>
    <row r="314" customFormat="false" ht="15" hidden="false" customHeight="false" outlineLevel="0" collapsed="false">
      <c r="A314" s="148" t="n">
        <v>39857</v>
      </c>
      <c r="B314" s="37" t="n">
        <v>69.9763412475586</v>
      </c>
    </row>
    <row r="315" customFormat="false" ht="15" hidden="false" customHeight="false" outlineLevel="0" collapsed="false">
      <c r="A315" s="148" t="n">
        <v>39860</v>
      </c>
      <c r="B315" s="37" t="n">
        <v>69.9763412475586</v>
      </c>
    </row>
    <row r="316" customFormat="false" ht="15" hidden="false" customHeight="false" outlineLevel="0" collapsed="false">
      <c r="A316" s="148" t="n">
        <v>39861</v>
      </c>
      <c r="B316" s="37" t="n">
        <v>69.9763412475586</v>
      </c>
    </row>
    <row r="317" customFormat="false" ht="15" hidden="false" customHeight="false" outlineLevel="0" collapsed="false">
      <c r="A317" s="148" t="n">
        <v>39862</v>
      </c>
      <c r="B317" s="37" t="n">
        <v>69.9763412475586</v>
      </c>
    </row>
    <row r="318" customFormat="false" ht="15" hidden="false" customHeight="false" outlineLevel="0" collapsed="false">
      <c r="A318" s="148" t="n">
        <v>39863</v>
      </c>
      <c r="B318" s="37" t="n">
        <v>66.9773559570313</v>
      </c>
    </row>
    <row r="319" customFormat="false" ht="15" hidden="false" customHeight="false" outlineLevel="0" collapsed="false">
      <c r="A319" s="148" t="n">
        <v>39864</v>
      </c>
      <c r="B319" s="37" t="n">
        <v>59.9797248840332</v>
      </c>
    </row>
    <row r="320" customFormat="false" ht="15" hidden="false" customHeight="false" outlineLevel="0" collapsed="false">
      <c r="A320" s="148" t="n">
        <v>39867</v>
      </c>
      <c r="B320" s="37" t="n">
        <v>59.9797248840332</v>
      </c>
    </row>
    <row r="321" customFormat="false" ht="15" hidden="false" customHeight="false" outlineLevel="0" collapsed="false">
      <c r="A321" s="148" t="n">
        <v>39868</v>
      </c>
      <c r="B321" s="37" t="n">
        <v>59.9797248840332</v>
      </c>
    </row>
    <row r="322" customFormat="false" ht="15" hidden="false" customHeight="false" outlineLevel="0" collapsed="false">
      <c r="A322" s="148" t="n">
        <v>39869</v>
      </c>
      <c r="B322" s="37" t="n">
        <v>59.9797248840332</v>
      </c>
    </row>
    <row r="323" customFormat="false" ht="15" hidden="false" customHeight="false" outlineLevel="0" collapsed="false">
      <c r="A323" s="148" t="n">
        <v>39870</v>
      </c>
      <c r="B323" s="37" t="n">
        <v>59.9797248840332</v>
      </c>
    </row>
    <row r="324" customFormat="false" ht="15" hidden="false" customHeight="false" outlineLevel="0" collapsed="false">
      <c r="A324" s="148" t="n">
        <v>39871</v>
      </c>
      <c r="B324" s="37" t="n">
        <v>76.9739761352539</v>
      </c>
    </row>
    <row r="325" customFormat="false" ht="15" hidden="false" customHeight="false" outlineLevel="0" collapsed="false">
      <c r="A325" s="148" t="n">
        <v>39874</v>
      </c>
      <c r="B325" s="37" t="n">
        <v>76.9739761352539</v>
      </c>
    </row>
    <row r="326" customFormat="false" ht="15" hidden="false" customHeight="false" outlineLevel="0" collapsed="false">
      <c r="A326" s="148" t="n">
        <v>39875</v>
      </c>
      <c r="B326" s="37" t="n">
        <v>57.9804000854492</v>
      </c>
    </row>
    <row r="327" customFormat="false" ht="15" hidden="false" customHeight="false" outlineLevel="0" collapsed="false">
      <c r="A327" s="148" t="n">
        <v>39876</v>
      </c>
      <c r="B327" s="37" t="n">
        <v>57.9804000854492</v>
      </c>
    </row>
    <row r="328" customFormat="false" ht="15" hidden="false" customHeight="false" outlineLevel="0" collapsed="false">
      <c r="A328" s="148" t="n">
        <v>39877</v>
      </c>
      <c r="B328" s="37" t="n">
        <v>57.9804000854492</v>
      </c>
    </row>
    <row r="329" customFormat="false" ht="15" hidden="false" customHeight="false" outlineLevel="0" collapsed="false">
      <c r="A329" s="148" t="n">
        <v>39878</v>
      </c>
      <c r="B329" s="37" t="n">
        <v>57.9804000854492</v>
      </c>
    </row>
    <row r="330" customFormat="false" ht="15" hidden="false" customHeight="false" outlineLevel="0" collapsed="false">
      <c r="A330" s="148" t="n">
        <v>39881</v>
      </c>
      <c r="B330" s="37" t="n">
        <v>57.9804000854492</v>
      </c>
    </row>
    <row r="331" customFormat="false" ht="15" hidden="false" customHeight="false" outlineLevel="0" collapsed="false">
      <c r="A331" s="148" t="n">
        <v>39882</v>
      </c>
      <c r="B331" s="37" t="n">
        <v>57.9804000854492</v>
      </c>
    </row>
    <row r="332" customFormat="false" ht="15" hidden="false" customHeight="false" outlineLevel="0" collapsed="false">
      <c r="A332" s="148" t="n">
        <v>39883</v>
      </c>
      <c r="B332" s="37" t="n">
        <v>57.9804000854492</v>
      </c>
    </row>
    <row r="333" customFormat="false" ht="15" hidden="false" customHeight="false" outlineLevel="0" collapsed="false">
      <c r="A333" s="148" t="n">
        <v>39884</v>
      </c>
      <c r="B333" s="37" t="n">
        <v>57.9804000854492</v>
      </c>
    </row>
    <row r="334" customFormat="false" ht="15" hidden="false" customHeight="false" outlineLevel="0" collapsed="false">
      <c r="A334" s="148" t="n">
        <v>39885</v>
      </c>
      <c r="B334" s="37" t="n">
        <v>89.9695816040039</v>
      </c>
    </row>
    <row r="335" customFormat="false" ht="15" hidden="false" customHeight="false" outlineLevel="0" collapsed="false">
      <c r="A335" s="148" t="n">
        <v>39888</v>
      </c>
      <c r="B335" s="37" t="n">
        <v>89.9695816040039</v>
      </c>
    </row>
    <row r="336" customFormat="false" ht="15" hidden="false" customHeight="false" outlineLevel="0" collapsed="false">
      <c r="A336" s="148" t="n">
        <v>39889</v>
      </c>
      <c r="B336" s="37" t="n">
        <v>89.9695816040039</v>
      </c>
    </row>
    <row r="337" customFormat="false" ht="15" hidden="false" customHeight="false" outlineLevel="0" collapsed="false">
      <c r="A337" s="148" t="n">
        <v>39890</v>
      </c>
      <c r="B337" s="37" t="n">
        <v>89.9695816040039</v>
      </c>
    </row>
    <row r="338" customFormat="false" ht="15" hidden="false" customHeight="false" outlineLevel="0" collapsed="false">
      <c r="A338" s="148" t="n">
        <v>39891</v>
      </c>
      <c r="B338" s="37" t="n">
        <v>89.9695816040039</v>
      </c>
    </row>
    <row r="339" customFormat="false" ht="15" hidden="false" customHeight="false" outlineLevel="0" collapsed="false">
      <c r="A339" s="148" t="n">
        <v>39892</v>
      </c>
      <c r="B339" s="37" t="n">
        <v>89.9695816040039</v>
      </c>
    </row>
    <row r="340" customFormat="false" ht="15" hidden="false" customHeight="false" outlineLevel="0" collapsed="false">
      <c r="A340" s="148" t="n">
        <v>39895</v>
      </c>
      <c r="B340" s="37" t="n">
        <v>89.9695816040039</v>
      </c>
    </row>
    <row r="341" customFormat="false" ht="15" hidden="false" customHeight="false" outlineLevel="0" collapsed="false">
      <c r="A341" s="148" t="n">
        <v>39896</v>
      </c>
      <c r="B341" s="37" t="n">
        <v>89.9695816040039</v>
      </c>
    </row>
    <row r="342" customFormat="false" ht="15" hidden="false" customHeight="false" outlineLevel="0" collapsed="false">
      <c r="A342" s="148" t="n">
        <v>39897</v>
      </c>
      <c r="B342" s="37" t="n">
        <v>89.9695816040039</v>
      </c>
    </row>
    <row r="343" customFormat="false" ht="15" hidden="false" customHeight="false" outlineLevel="0" collapsed="false">
      <c r="A343" s="148" t="n">
        <v>39898</v>
      </c>
      <c r="B343" s="37" t="n">
        <v>89.9695816040039</v>
      </c>
    </row>
    <row r="344" customFormat="false" ht="15" hidden="false" customHeight="false" outlineLevel="0" collapsed="false">
      <c r="A344" s="148" t="n">
        <v>39899</v>
      </c>
      <c r="B344" s="37" t="n">
        <v>89.9695816040039</v>
      </c>
    </row>
    <row r="345" customFormat="false" ht="15" hidden="false" customHeight="false" outlineLevel="0" collapsed="false">
      <c r="A345" s="148" t="n">
        <v>39902</v>
      </c>
      <c r="B345" s="37" t="n">
        <v>89.9695816040039</v>
      </c>
    </row>
    <row r="346" customFormat="false" ht="15" hidden="false" customHeight="false" outlineLevel="0" collapsed="false">
      <c r="A346" s="148" t="n">
        <v>39903</v>
      </c>
      <c r="B346" s="37" t="n">
        <v>89.9695816040039</v>
      </c>
    </row>
    <row r="347" customFormat="false" ht="15" hidden="false" customHeight="false" outlineLevel="0" collapsed="false">
      <c r="A347" s="148" t="n">
        <v>39904</v>
      </c>
      <c r="B347" s="37" t="n">
        <v>89.9695816040039</v>
      </c>
    </row>
    <row r="348" customFormat="false" ht="15" hidden="false" customHeight="false" outlineLevel="0" collapsed="false">
      <c r="A348" s="148" t="n">
        <v>39905</v>
      </c>
      <c r="B348" s="37" t="n">
        <v>89.9695816040039</v>
      </c>
    </row>
    <row r="349" customFormat="false" ht="15" hidden="false" customHeight="false" outlineLevel="0" collapsed="false">
      <c r="A349" s="148" t="n">
        <v>39906</v>
      </c>
      <c r="B349" s="37" t="n">
        <v>89.9695816040039</v>
      </c>
    </row>
    <row r="350" customFormat="false" ht="15" hidden="false" customHeight="false" outlineLevel="0" collapsed="false">
      <c r="A350" s="148" t="n">
        <v>39909</v>
      </c>
      <c r="B350" s="37" t="n">
        <v>89.9695816040039</v>
      </c>
    </row>
    <row r="351" customFormat="false" ht="15" hidden="false" customHeight="false" outlineLevel="0" collapsed="false">
      <c r="A351" s="148" t="n">
        <v>39910</v>
      </c>
      <c r="B351" s="37" t="n">
        <v>89.9695816040039</v>
      </c>
    </row>
    <row r="352" customFormat="false" ht="15" hidden="false" customHeight="false" outlineLevel="0" collapsed="false">
      <c r="A352" s="148" t="n">
        <v>39911</v>
      </c>
      <c r="B352" s="37" t="n">
        <v>89.9695816040039</v>
      </c>
    </row>
    <row r="353" customFormat="false" ht="15" hidden="false" customHeight="false" outlineLevel="0" collapsed="false">
      <c r="A353" s="148" t="n">
        <v>39912</v>
      </c>
      <c r="B353" s="37" t="n">
        <v>89.9695816040039</v>
      </c>
    </row>
    <row r="354" customFormat="false" ht="15" hidden="false" customHeight="false" outlineLevel="0" collapsed="false">
      <c r="A354" s="148" t="n">
        <v>39917</v>
      </c>
      <c r="B354" s="37" t="n">
        <v>89.9695816040039</v>
      </c>
    </row>
    <row r="355" customFormat="false" ht="15" hidden="false" customHeight="false" outlineLevel="0" collapsed="false">
      <c r="A355" s="148" t="n">
        <v>39918</v>
      </c>
      <c r="B355" s="37" t="n">
        <v>89.9695816040039</v>
      </c>
    </row>
    <row r="356" customFormat="false" ht="15" hidden="false" customHeight="false" outlineLevel="0" collapsed="false">
      <c r="A356" s="148" t="n">
        <v>39919</v>
      </c>
      <c r="B356" s="37" t="n">
        <v>89.9695816040039</v>
      </c>
    </row>
    <row r="357" customFormat="false" ht="15" hidden="false" customHeight="false" outlineLevel="0" collapsed="false">
      <c r="A357" s="148" t="n">
        <v>39920</v>
      </c>
      <c r="B357" s="37" t="n">
        <v>89.9695816040039</v>
      </c>
    </row>
    <row r="358" customFormat="false" ht="15" hidden="false" customHeight="false" outlineLevel="0" collapsed="false">
      <c r="A358" s="148" t="n">
        <v>39923</v>
      </c>
      <c r="B358" s="37" t="n">
        <v>89.9695816040039</v>
      </c>
    </row>
    <row r="359" customFormat="false" ht="15" hidden="false" customHeight="false" outlineLevel="0" collapsed="false">
      <c r="A359" s="148" t="n">
        <v>39924</v>
      </c>
      <c r="B359" s="37" t="n">
        <v>89.9695816040039</v>
      </c>
    </row>
    <row r="360" customFormat="false" ht="15" hidden="false" customHeight="false" outlineLevel="0" collapsed="false">
      <c r="A360" s="148" t="n">
        <v>39925</v>
      </c>
      <c r="B360" s="37" t="n">
        <v>89.9695816040039</v>
      </c>
    </row>
    <row r="361" customFormat="false" ht="15" hidden="false" customHeight="false" outlineLevel="0" collapsed="false">
      <c r="A361" s="148" t="n">
        <v>39926</v>
      </c>
      <c r="B361" s="37" t="n">
        <v>89.9695816040039</v>
      </c>
    </row>
    <row r="362" customFormat="false" ht="15" hidden="false" customHeight="false" outlineLevel="0" collapsed="false">
      <c r="A362" s="148" t="n">
        <v>39927</v>
      </c>
      <c r="B362" s="37" t="n">
        <v>89.9695816040039</v>
      </c>
    </row>
    <row r="363" customFormat="false" ht="15" hidden="false" customHeight="false" outlineLevel="0" collapsed="false">
      <c r="A363" s="148" t="n">
        <v>39931</v>
      </c>
      <c r="B363" s="37" t="n">
        <v>89.9695816040039</v>
      </c>
    </row>
    <row r="364" customFormat="false" ht="15" hidden="false" customHeight="false" outlineLevel="0" collapsed="false">
      <c r="A364" s="148" t="n">
        <v>39932</v>
      </c>
      <c r="B364" s="37" t="n">
        <v>89.9695816040039</v>
      </c>
    </row>
    <row r="365" customFormat="false" ht="15" hidden="false" customHeight="false" outlineLevel="0" collapsed="false">
      <c r="A365" s="148" t="n">
        <v>39933</v>
      </c>
      <c r="B365" s="37" t="n">
        <v>89.9695816040039</v>
      </c>
    </row>
    <row r="366" customFormat="false" ht="15" hidden="false" customHeight="false" outlineLevel="0" collapsed="false">
      <c r="A366" s="148" t="n">
        <v>39937</v>
      </c>
      <c r="B366" s="37" t="n">
        <v>89.9695816040039</v>
      </c>
    </row>
    <row r="367" customFormat="false" ht="15" hidden="false" customHeight="false" outlineLevel="0" collapsed="false">
      <c r="A367" s="148" t="n">
        <v>39938</v>
      </c>
      <c r="B367" s="37" t="n">
        <v>89.9695816040039</v>
      </c>
    </row>
    <row r="368" customFormat="false" ht="15" hidden="false" customHeight="false" outlineLevel="0" collapsed="false">
      <c r="A368" s="148" t="n">
        <v>39939</v>
      </c>
      <c r="B368" s="37" t="n">
        <v>89.9695816040039</v>
      </c>
    </row>
    <row r="369" customFormat="false" ht="15" hidden="false" customHeight="false" outlineLevel="0" collapsed="false">
      <c r="A369" s="148" t="n">
        <v>39940</v>
      </c>
      <c r="B369" s="37" t="n">
        <v>89.9695816040039</v>
      </c>
    </row>
    <row r="370" customFormat="false" ht="15" hidden="false" customHeight="false" outlineLevel="0" collapsed="false">
      <c r="A370" s="148" t="n">
        <v>39941</v>
      </c>
      <c r="B370" s="37" t="n">
        <v>89.9695816040039</v>
      </c>
    </row>
    <row r="371" customFormat="false" ht="15" hidden="false" customHeight="false" outlineLevel="0" collapsed="false">
      <c r="A371" s="148" t="n">
        <v>39944</v>
      </c>
      <c r="B371" s="37" t="n">
        <v>79.9729614257813</v>
      </c>
    </row>
    <row r="372" customFormat="false" ht="15" hidden="false" customHeight="false" outlineLevel="0" collapsed="false">
      <c r="A372" s="148" t="n">
        <v>39945</v>
      </c>
      <c r="B372" s="37" t="n">
        <v>79.9729614257813</v>
      </c>
    </row>
    <row r="373" customFormat="false" ht="15" hidden="false" customHeight="false" outlineLevel="0" collapsed="false">
      <c r="A373" s="148" t="n">
        <v>39946</v>
      </c>
      <c r="B373" s="37" t="n">
        <v>79.9729614257813</v>
      </c>
    </row>
    <row r="374" customFormat="false" ht="15" hidden="false" customHeight="false" outlineLevel="0" collapsed="false">
      <c r="A374" s="148" t="n">
        <v>39947</v>
      </c>
      <c r="B374" s="37" t="n">
        <v>79.9729614257813</v>
      </c>
    </row>
    <row r="375" customFormat="false" ht="15" hidden="false" customHeight="false" outlineLevel="0" collapsed="false">
      <c r="A375" s="148" t="n">
        <v>39948</v>
      </c>
      <c r="B375" s="37" t="n">
        <v>79.9729614257813</v>
      </c>
    </row>
    <row r="376" customFormat="false" ht="15" hidden="false" customHeight="false" outlineLevel="0" collapsed="false">
      <c r="A376" s="148" t="n">
        <v>39951</v>
      </c>
      <c r="B376" s="37" t="n">
        <v>79.9729614257813</v>
      </c>
    </row>
    <row r="377" customFormat="false" ht="15" hidden="false" customHeight="false" outlineLevel="0" collapsed="false">
      <c r="A377" s="148" t="n">
        <v>39952</v>
      </c>
      <c r="B377" s="37" t="n">
        <v>79.9729614257813</v>
      </c>
    </row>
    <row r="378" customFormat="false" ht="15" hidden="false" customHeight="false" outlineLevel="0" collapsed="false">
      <c r="A378" s="148" t="n">
        <v>39953</v>
      </c>
      <c r="B378" s="37" t="n">
        <v>79.9729614257813</v>
      </c>
    </row>
    <row r="379" customFormat="false" ht="15" hidden="false" customHeight="false" outlineLevel="0" collapsed="false">
      <c r="A379" s="148" t="n">
        <v>39954</v>
      </c>
      <c r="B379" s="37" t="n">
        <v>79.9729614257813</v>
      </c>
    </row>
    <row r="380" customFormat="false" ht="15" hidden="false" customHeight="false" outlineLevel="0" collapsed="false">
      <c r="A380" s="148" t="n">
        <v>39955</v>
      </c>
      <c r="B380" s="37" t="n">
        <v>79.9729614257813</v>
      </c>
    </row>
    <row r="381" customFormat="false" ht="15" hidden="false" customHeight="false" outlineLevel="0" collapsed="false">
      <c r="A381" s="148" t="n">
        <v>39958</v>
      </c>
      <c r="B381" s="37" t="n">
        <v>79.9729614257813</v>
      </c>
    </row>
    <row r="382" customFormat="false" ht="15" hidden="false" customHeight="false" outlineLevel="0" collapsed="false">
      <c r="A382" s="148" t="n">
        <v>39959</v>
      </c>
      <c r="B382" s="37" t="n">
        <v>79.9729614257813</v>
      </c>
    </row>
    <row r="383" customFormat="false" ht="15" hidden="false" customHeight="false" outlineLevel="0" collapsed="false">
      <c r="A383" s="148" t="n">
        <v>39960</v>
      </c>
      <c r="B383" s="37" t="n">
        <v>79.9729614257813</v>
      </c>
    </row>
    <row r="384" customFormat="false" ht="15" hidden="false" customHeight="false" outlineLevel="0" collapsed="false">
      <c r="A384" s="148" t="n">
        <v>39961</v>
      </c>
      <c r="B384" s="37" t="n">
        <v>79.9729614257813</v>
      </c>
    </row>
    <row r="385" customFormat="false" ht="15" hidden="false" customHeight="false" outlineLevel="0" collapsed="false">
      <c r="A385" s="148" t="n">
        <v>39962</v>
      </c>
      <c r="B385" s="37" t="n">
        <v>79.9729614257813</v>
      </c>
    </row>
    <row r="386" customFormat="false" ht="15" hidden="false" customHeight="false" outlineLevel="0" collapsed="false">
      <c r="A386" s="148" t="n">
        <v>39965</v>
      </c>
      <c r="B386" s="37" t="n">
        <v>79.9729614257813</v>
      </c>
    </row>
    <row r="387" customFormat="false" ht="15" hidden="false" customHeight="false" outlineLevel="0" collapsed="false">
      <c r="A387" s="148" t="n">
        <v>39966</v>
      </c>
      <c r="B387" s="37" t="n">
        <v>79.9729614257813</v>
      </c>
    </row>
    <row r="388" customFormat="false" ht="15" hidden="false" customHeight="false" outlineLevel="0" collapsed="false">
      <c r="A388" s="148" t="n">
        <v>39967</v>
      </c>
      <c r="B388" s="37" t="n">
        <v>79.9729614257813</v>
      </c>
    </row>
    <row r="389" customFormat="false" ht="15" hidden="false" customHeight="false" outlineLevel="0" collapsed="false">
      <c r="A389" s="148" t="n">
        <v>39968</v>
      </c>
      <c r="B389" s="37" t="n">
        <v>79.9729614257813</v>
      </c>
    </row>
    <row r="390" customFormat="false" ht="15" hidden="false" customHeight="false" outlineLevel="0" collapsed="false">
      <c r="A390" s="148" t="n">
        <v>39969</v>
      </c>
      <c r="B390" s="37" t="n">
        <v>79.9729614257813</v>
      </c>
    </row>
    <row r="391" customFormat="false" ht="15" hidden="false" customHeight="false" outlineLevel="0" collapsed="false">
      <c r="A391" s="148" t="n">
        <v>39972</v>
      </c>
      <c r="B391" s="37" t="n">
        <v>79.9729614257813</v>
      </c>
    </row>
    <row r="392" customFormat="false" ht="15" hidden="false" customHeight="false" outlineLevel="0" collapsed="false">
      <c r="A392" s="148" t="n">
        <v>39973</v>
      </c>
      <c r="B392" s="37" t="n">
        <v>79.9729614257813</v>
      </c>
    </row>
    <row r="393" customFormat="false" ht="15" hidden="false" customHeight="false" outlineLevel="0" collapsed="false">
      <c r="A393" s="148" t="n">
        <v>39974</v>
      </c>
      <c r="B393" s="37" t="n">
        <v>79.9729614257813</v>
      </c>
    </row>
    <row r="394" customFormat="false" ht="15" hidden="false" customHeight="false" outlineLevel="0" collapsed="false">
      <c r="A394" s="148" t="n">
        <v>39975</v>
      </c>
      <c r="B394" s="37" t="n">
        <v>79.9729614257813</v>
      </c>
    </row>
    <row r="395" customFormat="false" ht="15" hidden="false" customHeight="false" outlineLevel="0" collapsed="false">
      <c r="A395" s="148" t="n">
        <v>39976</v>
      </c>
      <c r="B395" s="37" t="n">
        <v>79.9729614257813</v>
      </c>
    </row>
    <row r="396" customFormat="false" ht="15" hidden="false" customHeight="false" outlineLevel="0" collapsed="false">
      <c r="A396" s="148" t="n">
        <v>39979</v>
      </c>
      <c r="B396" s="37" t="n">
        <v>79.9729614257813</v>
      </c>
    </row>
    <row r="397" customFormat="false" ht="15" hidden="false" customHeight="false" outlineLevel="0" collapsed="false">
      <c r="A397" s="148" t="n">
        <v>39981</v>
      </c>
      <c r="B397" s="37" t="n">
        <v>69.9763412475586</v>
      </c>
    </row>
    <row r="398" customFormat="false" ht="15" hidden="false" customHeight="false" outlineLevel="0" collapsed="false">
      <c r="A398" s="148" t="n">
        <v>39982</v>
      </c>
      <c r="B398" s="37" t="n">
        <v>69.9763412475586</v>
      </c>
    </row>
    <row r="399" customFormat="false" ht="15" hidden="false" customHeight="false" outlineLevel="0" collapsed="false">
      <c r="A399" s="148" t="n">
        <v>39983</v>
      </c>
      <c r="B399" s="37" t="n">
        <v>69.9763412475586</v>
      </c>
    </row>
    <row r="400" customFormat="false" ht="15" hidden="false" customHeight="false" outlineLevel="0" collapsed="false">
      <c r="A400" s="148" t="n">
        <v>39986</v>
      </c>
      <c r="B400" s="37" t="n">
        <v>69.9763412475586</v>
      </c>
    </row>
    <row r="401" customFormat="false" ht="15" hidden="false" customHeight="false" outlineLevel="0" collapsed="false">
      <c r="A401" s="148" t="n">
        <v>39987</v>
      </c>
      <c r="B401" s="37" t="n">
        <v>69.9763412475586</v>
      </c>
    </row>
    <row r="402" customFormat="false" ht="15" hidden="false" customHeight="false" outlineLevel="0" collapsed="false">
      <c r="A402" s="148" t="n">
        <v>39988</v>
      </c>
      <c r="B402" s="37" t="n">
        <v>69.9763412475586</v>
      </c>
    </row>
    <row r="403" customFormat="false" ht="15" hidden="false" customHeight="false" outlineLevel="0" collapsed="false">
      <c r="A403" s="148" t="n">
        <v>39989</v>
      </c>
      <c r="B403" s="37" t="n">
        <v>69.9763412475586</v>
      </c>
    </row>
    <row r="404" customFormat="false" ht="15" hidden="false" customHeight="false" outlineLevel="0" collapsed="false">
      <c r="A404" s="148" t="n">
        <v>39990</v>
      </c>
      <c r="B404" s="37" t="n">
        <v>69.9763412475586</v>
      </c>
    </row>
    <row r="405" customFormat="false" ht="15" hidden="false" customHeight="false" outlineLevel="0" collapsed="false">
      <c r="A405" s="148" t="n">
        <v>39993</v>
      </c>
      <c r="B405" s="37" t="n">
        <v>69.9763412475586</v>
      </c>
    </row>
    <row r="406" customFormat="false" ht="15" hidden="false" customHeight="false" outlineLevel="0" collapsed="false">
      <c r="A406" s="148" t="n">
        <v>39994</v>
      </c>
      <c r="B406" s="37" t="n">
        <v>69.9763412475586</v>
      </c>
    </row>
    <row r="407" customFormat="false" ht="15" hidden="false" customHeight="false" outlineLevel="0" collapsed="false">
      <c r="A407" s="148" t="n">
        <v>39995</v>
      </c>
      <c r="B407" s="37" t="n">
        <v>69.9763412475586</v>
      </c>
    </row>
    <row r="408" customFormat="false" ht="15" hidden="false" customHeight="false" outlineLevel="0" collapsed="false">
      <c r="A408" s="148" t="n">
        <v>39996</v>
      </c>
      <c r="B408" s="37" t="n">
        <v>69.9763412475586</v>
      </c>
    </row>
    <row r="409" customFormat="false" ht="15" hidden="false" customHeight="false" outlineLevel="0" collapsed="false">
      <c r="A409" s="148" t="n">
        <v>39997</v>
      </c>
      <c r="B409" s="37" t="n">
        <v>69.9763412475586</v>
      </c>
    </row>
    <row r="410" customFormat="false" ht="15" hidden="false" customHeight="false" outlineLevel="0" collapsed="false">
      <c r="A410" s="148" t="n">
        <v>40000</v>
      </c>
      <c r="B410" s="37" t="n">
        <v>69.9763412475586</v>
      </c>
    </row>
    <row r="411" customFormat="false" ht="15" hidden="false" customHeight="false" outlineLevel="0" collapsed="false">
      <c r="A411" s="148" t="n">
        <v>40001</v>
      </c>
      <c r="B411" s="37" t="n">
        <v>69.9763412475586</v>
      </c>
    </row>
    <row r="412" customFormat="false" ht="15" hidden="false" customHeight="false" outlineLevel="0" collapsed="false">
      <c r="A412" s="148" t="n">
        <v>40002</v>
      </c>
      <c r="B412" s="37" t="n">
        <v>69.9763412475586</v>
      </c>
    </row>
    <row r="413" customFormat="false" ht="15" hidden="false" customHeight="false" outlineLevel="0" collapsed="false">
      <c r="A413" s="148" t="n">
        <v>40003</v>
      </c>
      <c r="B413" s="37" t="n">
        <v>69.9763412475586</v>
      </c>
    </row>
    <row r="414" customFormat="false" ht="15" hidden="false" customHeight="false" outlineLevel="0" collapsed="false">
      <c r="A414" s="148" t="n">
        <v>40004</v>
      </c>
      <c r="B414" s="37" t="n">
        <v>69.9763412475586</v>
      </c>
    </row>
    <row r="415" customFormat="false" ht="15" hidden="false" customHeight="false" outlineLevel="0" collapsed="false">
      <c r="A415" s="148" t="n">
        <v>40007</v>
      </c>
      <c r="B415" s="37" t="n">
        <v>69.9763412475586</v>
      </c>
    </row>
    <row r="416" customFormat="false" ht="15" hidden="false" customHeight="false" outlineLevel="0" collapsed="false">
      <c r="A416" s="148" t="n">
        <v>40008</v>
      </c>
      <c r="B416" s="37" t="n">
        <v>67.9770202636719</v>
      </c>
    </row>
    <row r="417" customFormat="false" ht="15" hidden="false" customHeight="false" outlineLevel="0" collapsed="false">
      <c r="A417" s="148" t="n">
        <v>40009</v>
      </c>
      <c r="B417" s="37" t="n">
        <v>67.9770202636719</v>
      </c>
    </row>
    <row r="418" customFormat="false" ht="15" hidden="false" customHeight="false" outlineLevel="0" collapsed="false">
      <c r="A418" s="148" t="n">
        <v>40010</v>
      </c>
      <c r="B418" s="37" t="n">
        <v>67.9770202636719</v>
      </c>
    </row>
    <row r="419" customFormat="false" ht="15" hidden="false" customHeight="false" outlineLevel="0" collapsed="false">
      <c r="A419" s="148" t="n">
        <v>40011</v>
      </c>
      <c r="B419" s="37" t="n">
        <v>67.9770202636719</v>
      </c>
    </row>
    <row r="420" customFormat="false" ht="15" hidden="false" customHeight="false" outlineLevel="0" collapsed="false">
      <c r="A420" s="148" t="n">
        <v>40014</v>
      </c>
      <c r="B420" s="37" t="n">
        <v>67.9770202636719</v>
      </c>
    </row>
    <row r="421" customFormat="false" ht="15" hidden="false" customHeight="false" outlineLevel="0" collapsed="false">
      <c r="A421" s="148" t="n">
        <v>40015</v>
      </c>
      <c r="B421" s="37" t="n">
        <v>67.9770202636719</v>
      </c>
    </row>
    <row r="422" customFormat="false" ht="15" hidden="false" customHeight="false" outlineLevel="0" collapsed="false">
      <c r="A422" s="148" t="n">
        <v>40016</v>
      </c>
      <c r="B422" s="37" t="n">
        <v>54.9814147949219</v>
      </c>
    </row>
    <row r="423" customFormat="false" ht="15" hidden="false" customHeight="false" outlineLevel="0" collapsed="false">
      <c r="A423" s="148" t="n">
        <v>40017</v>
      </c>
      <c r="B423" s="37" t="n">
        <v>54.9814147949219</v>
      </c>
    </row>
    <row r="424" customFormat="false" ht="15" hidden="false" customHeight="false" outlineLevel="0" collapsed="false">
      <c r="A424" s="148" t="n">
        <v>40018</v>
      </c>
      <c r="B424" s="37" t="n">
        <v>54.9814147949219</v>
      </c>
    </row>
    <row r="425" customFormat="false" ht="15" hidden="false" customHeight="false" outlineLevel="0" collapsed="false">
      <c r="A425" s="148" t="n">
        <v>40021</v>
      </c>
      <c r="B425" s="37" t="n">
        <v>54.9814147949219</v>
      </c>
    </row>
    <row r="426" customFormat="false" ht="15" hidden="false" customHeight="false" outlineLevel="0" collapsed="false">
      <c r="A426" s="148" t="n">
        <v>40022</v>
      </c>
      <c r="B426" s="37" t="n">
        <v>54.9814147949219</v>
      </c>
    </row>
    <row r="427" customFormat="false" ht="15" hidden="false" customHeight="false" outlineLevel="0" collapsed="false">
      <c r="A427" s="148" t="n">
        <v>40023</v>
      </c>
      <c r="B427" s="37" t="n">
        <v>54.9814147949219</v>
      </c>
    </row>
    <row r="428" customFormat="false" ht="15" hidden="false" customHeight="false" outlineLevel="0" collapsed="false">
      <c r="A428" s="148" t="n">
        <v>40024</v>
      </c>
      <c r="B428" s="37" t="n">
        <v>69.9763412475586</v>
      </c>
    </row>
    <row r="429" customFormat="false" ht="15" hidden="false" customHeight="false" outlineLevel="0" collapsed="false">
      <c r="A429" s="148" t="n">
        <v>40025</v>
      </c>
      <c r="B429" s="37" t="n">
        <v>69.9763412475586</v>
      </c>
    </row>
    <row r="430" customFormat="false" ht="15" hidden="false" customHeight="false" outlineLevel="0" collapsed="false">
      <c r="A430" s="148" t="n">
        <v>40028</v>
      </c>
      <c r="B430" s="37" t="n">
        <v>69.9763412475586</v>
      </c>
    </row>
    <row r="431" customFormat="false" ht="15" hidden="false" customHeight="false" outlineLevel="0" collapsed="false">
      <c r="A431" s="148" t="n">
        <v>40029</v>
      </c>
      <c r="B431" s="37" t="n">
        <v>69.9763412475586</v>
      </c>
    </row>
    <row r="432" customFormat="false" ht="15" hidden="false" customHeight="false" outlineLevel="0" collapsed="false">
      <c r="A432" s="148" t="n">
        <v>40030</v>
      </c>
      <c r="B432" s="37" t="n">
        <v>69.9763412475586</v>
      </c>
    </row>
    <row r="433" customFormat="false" ht="15" hidden="false" customHeight="false" outlineLevel="0" collapsed="false">
      <c r="A433" s="148" t="n">
        <v>40031</v>
      </c>
      <c r="B433" s="37" t="n">
        <v>69.9763412475586</v>
      </c>
    </row>
    <row r="434" customFormat="false" ht="15" hidden="false" customHeight="false" outlineLevel="0" collapsed="false">
      <c r="A434" s="148" t="n">
        <v>40032</v>
      </c>
      <c r="B434" s="37" t="n">
        <v>69.9763412475586</v>
      </c>
    </row>
    <row r="435" customFormat="false" ht="15" hidden="false" customHeight="false" outlineLevel="0" collapsed="false">
      <c r="A435" s="148" t="n">
        <v>40036</v>
      </c>
      <c r="B435" s="37" t="n">
        <v>69.9763412475586</v>
      </c>
    </row>
    <row r="436" customFormat="false" ht="15" hidden="false" customHeight="false" outlineLevel="0" collapsed="false">
      <c r="A436" s="148" t="n">
        <v>40037</v>
      </c>
      <c r="B436" s="37" t="n">
        <v>69.9763412475586</v>
      </c>
    </row>
    <row r="437" customFormat="false" ht="15" hidden="false" customHeight="false" outlineLevel="0" collapsed="false">
      <c r="A437" s="148" t="n">
        <v>40038</v>
      </c>
      <c r="B437" s="37" t="n">
        <v>67.9770202636719</v>
      </c>
    </row>
    <row r="438" customFormat="false" ht="15" hidden="false" customHeight="false" outlineLevel="0" collapsed="false">
      <c r="A438" s="148" t="n">
        <v>40039</v>
      </c>
      <c r="B438" s="37" t="n">
        <v>67.9770202636719</v>
      </c>
    </row>
    <row r="439" customFormat="false" ht="15" hidden="false" customHeight="false" outlineLevel="0" collapsed="false">
      <c r="A439" s="148" t="n">
        <v>40042</v>
      </c>
      <c r="B439" s="37" t="n">
        <v>67.9770202636719</v>
      </c>
    </row>
    <row r="440" customFormat="false" ht="15" hidden="false" customHeight="false" outlineLevel="0" collapsed="false">
      <c r="A440" s="148" t="n">
        <v>40043</v>
      </c>
      <c r="B440" s="37" t="n">
        <v>66.9773559570313</v>
      </c>
    </row>
    <row r="441" customFormat="false" ht="15" hidden="false" customHeight="false" outlineLevel="0" collapsed="false">
      <c r="A441" s="148" t="n">
        <v>40044</v>
      </c>
      <c r="B441" s="37" t="n">
        <v>66.9773559570313</v>
      </c>
    </row>
    <row r="442" customFormat="false" ht="15" hidden="false" customHeight="false" outlineLevel="0" collapsed="false">
      <c r="A442" s="148" t="n">
        <v>40045</v>
      </c>
      <c r="B442" s="37" t="n">
        <v>66.9773559570313</v>
      </c>
    </row>
    <row r="443" customFormat="false" ht="15" hidden="false" customHeight="false" outlineLevel="0" collapsed="false">
      <c r="A443" s="148" t="n">
        <v>40046</v>
      </c>
      <c r="B443" s="37" t="n">
        <v>66.9773559570313</v>
      </c>
    </row>
    <row r="444" customFormat="false" ht="15" hidden="false" customHeight="false" outlineLevel="0" collapsed="false">
      <c r="A444" s="148" t="n">
        <v>40049</v>
      </c>
      <c r="B444" s="37" t="n">
        <v>59.9797248840332</v>
      </c>
    </row>
    <row r="445" customFormat="false" ht="15" hidden="false" customHeight="false" outlineLevel="0" collapsed="false">
      <c r="A445" s="148" t="n">
        <v>40050</v>
      </c>
      <c r="B445" s="37" t="n">
        <v>59.9797248840332</v>
      </c>
    </row>
    <row r="446" customFormat="false" ht="15" hidden="false" customHeight="false" outlineLevel="0" collapsed="false">
      <c r="A446" s="148" t="n">
        <v>40051</v>
      </c>
      <c r="B446" s="37" t="n">
        <v>59.9797248840332</v>
      </c>
    </row>
    <row r="447" customFormat="false" ht="15" hidden="false" customHeight="false" outlineLevel="0" collapsed="false">
      <c r="A447" s="148" t="n">
        <v>40052</v>
      </c>
      <c r="B447" s="37" t="n">
        <v>59.9797248840332</v>
      </c>
    </row>
    <row r="448" customFormat="false" ht="15" hidden="false" customHeight="false" outlineLevel="0" collapsed="false">
      <c r="A448" s="148" t="n">
        <v>40053</v>
      </c>
      <c r="B448" s="37" t="n">
        <v>59.9797248840332</v>
      </c>
    </row>
    <row r="449" customFormat="false" ht="15" hidden="false" customHeight="false" outlineLevel="0" collapsed="false">
      <c r="A449" s="148" t="n">
        <v>40056</v>
      </c>
      <c r="B449" s="37" t="n">
        <v>59.9797248840332</v>
      </c>
    </row>
    <row r="450" customFormat="false" ht="15" hidden="false" customHeight="false" outlineLevel="0" collapsed="false">
      <c r="A450" s="148" t="n">
        <v>40057</v>
      </c>
      <c r="B450" s="37" t="n">
        <v>58.9800605773926</v>
      </c>
    </row>
    <row r="451" customFormat="false" ht="15" hidden="false" customHeight="false" outlineLevel="0" collapsed="false">
      <c r="A451" s="148" t="n">
        <v>40058</v>
      </c>
      <c r="B451" s="37" t="n">
        <v>58.9800605773926</v>
      </c>
    </row>
    <row r="452" customFormat="false" ht="15" hidden="false" customHeight="false" outlineLevel="0" collapsed="false">
      <c r="A452" s="148" t="n">
        <v>40059</v>
      </c>
      <c r="B452" s="37" t="n">
        <v>49.9831008911133</v>
      </c>
    </row>
    <row r="453" customFormat="false" ht="15" hidden="false" customHeight="false" outlineLevel="0" collapsed="false">
      <c r="A453" s="148" t="n">
        <v>40060</v>
      </c>
      <c r="B453" s="37" t="n">
        <v>49.9831008911133</v>
      </c>
    </row>
    <row r="454" customFormat="false" ht="15" hidden="false" customHeight="false" outlineLevel="0" collapsed="false">
      <c r="A454" s="148" t="n">
        <v>40063</v>
      </c>
      <c r="B454" s="37" t="n">
        <v>48.9834403991699</v>
      </c>
    </row>
    <row r="455" customFormat="false" ht="15" hidden="false" customHeight="false" outlineLevel="0" collapsed="false">
      <c r="A455" s="148" t="n">
        <v>40064</v>
      </c>
      <c r="B455" s="37" t="n">
        <v>47.9837799072266</v>
      </c>
    </row>
    <row r="456" customFormat="false" ht="15" hidden="false" customHeight="false" outlineLevel="0" collapsed="false">
      <c r="A456" s="148" t="n">
        <v>40065</v>
      </c>
      <c r="B456" s="37" t="n">
        <v>48.9834403991699</v>
      </c>
    </row>
    <row r="457" customFormat="false" ht="15" hidden="false" customHeight="false" outlineLevel="0" collapsed="false">
      <c r="A457" s="148" t="n">
        <v>40066</v>
      </c>
      <c r="B457" s="37" t="n">
        <v>48.9834403991699</v>
      </c>
    </row>
    <row r="458" customFormat="false" ht="15" hidden="false" customHeight="false" outlineLevel="0" collapsed="false">
      <c r="A458" s="148" t="n">
        <v>40067</v>
      </c>
      <c r="B458" s="37" t="n">
        <v>49.9831008911133</v>
      </c>
    </row>
    <row r="459" customFormat="false" ht="15" hidden="false" customHeight="false" outlineLevel="0" collapsed="false">
      <c r="A459" s="148" t="n">
        <v>40070</v>
      </c>
      <c r="B459" s="37" t="n">
        <v>49.9831008911133</v>
      </c>
    </row>
    <row r="460" customFormat="false" ht="15" hidden="false" customHeight="false" outlineLevel="0" collapsed="false">
      <c r="A460" s="148" t="n">
        <v>40071</v>
      </c>
      <c r="B460" s="37" t="n">
        <v>49.9831008911133</v>
      </c>
    </row>
    <row r="461" customFormat="false" ht="15" hidden="false" customHeight="false" outlineLevel="0" collapsed="false">
      <c r="A461" s="148" t="n">
        <v>40072</v>
      </c>
      <c r="B461" s="37" t="n">
        <v>49.9831008911133</v>
      </c>
    </row>
    <row r="462" customFormat="false" ht="15" hidden="false" customHeight="false" outlineLevel="0" collapsed="false">
      <c r="A462" s="148" t="n">
        <v>40073</v>
      </c>
      <c r="B462" s="37" t="n">
        <v>49.9831008911133</v>
      </c>
    </row>
    <row r="463" customFormat="false" ht="15" hidden="false" customHeight="false" outlineLevel="0" collapsed="false">
      <c r="A463" s="148" t="n">
        <v>40074</v>
      </c>
      <c r="B463" s="37" t="n">
        <v>50.9827651977539</v>
      </c>
    </row>
    <row r="464" customFormat="false" ht="15" hidden="false" customHeight="false" outlineLevel="0" collapsed="false">
      <c r="A464" s="148" t="n">
        <v>40077</v>
      </c>
      <c r="B464" s="37" t="n">
        <v>49.9831008911133</v>
      </c>
    </row>
    <row r="465" customFormat="false" ht="15" hidden="false" customHeight="false" outlineLevel="0" collapsed="false">
      <c r="A465" s="148" t="n">
        <v>40078</v>
      </c>
      <c r="B465" s="37" t="n">
        <v>49.9831008911133</v>
      </c>
    </row>
    <row r="466" customFormat="false" ht="15" hidden="false" customHeight="false" outlineLevel="0" collapsed="false">
      <c r="A466" s="148" t="n">
        <v>40079</v>
      </c>
      <c r="B466" s="37" t="n">
        <v>49.9831008911133</v>
      </c>
    </row>
    <row r="467" customFormat="false" ht="15" hidden="false" customHeight="false" outlineLevel="0" collapsed="false">
      <c r="A467" s="148" t="n">
        <v>40081</v>
      </c>
      <c r="B467" s="37" t="n">
        <v>49.9831008911133</v>
      </c>
    </row>
    <row r="468" customFormat="false" ht="15" hidden="false" customHeight="false" outlineLevel="0" collapsed="false">
      <c r="A468" s="148" t="n">
        <v>40084</v>
      </c>
      <c r="B468" s="37" t="n">
        <v>49.9831008911133</v>
      </c>
    </row>
    <row r="469" customFormat="false" ht="15" hidden="false" customHeight="false" outlineLevel="0" collapsed="false">
      <c r="A469" s="148" t="n">
        <v>40085</v>
      </c>
      <c r="B469" s="37" t="n">
        <v>55.9810752868652</v>
      </c>
    </row>
    <row r="470" customFormat="false" ht="15" hidden="false" customHeight="false" outlineLevel="0" collapsed="false">
      <c r="A470" s="148" t="n">
        <v>40086</v>
      </c>
      <c r="B470" s="37" t="n">
        <v>55.9810752868652</v>
      </c>
    </row>
    <row r="471" customFormat="false" ht="15" hidden="false" customHeight="false" outlineLevel="0" collapsed="false">
      <c r="A471" s="148" t="n">
        <v>40087</v>
      </c>
      <c r="B471" s="37" t="n">
        <v>56.9807395935059</v>
      </c>
    </row>
    <row r="472" customFormat="false" ht="15" hidden="false" customHeight="false" outlineLevel="0" collapsed="false">
      <c r="A472" s="148" t="n">
        <v>40088</v>
      </c>
      <c r="B472" s="37" t="n">
        <v>56.9807395935059</v>
      </c>
    </row>
    <row r="473" customFormat="false" ht="15" hidden="false" customHeight="false" outlineLevel="0" collapsed="false">
      <c r="A473" s="148" t="n">
        <v>40091</v>
      </c>
      <c r="B473" s="37" t="n">
        <v>56.9807395935059</v>
      </c>
    </row>
    <row r="474" customFormat="false" ht="15" hidden="false" customHeight="false" outlineLevel="0" collapsed="false">
      <c r="A474" s="148" t="n">
        <v>40092</v>
      </c>
      <c r="B474" s="37" t="n">
        <v>56.9807395935059</v>
      </c>
    </row>
    <row r="475" customFormat="false" ht="15" hidden="false" customHeight="false" outlineLevel="0" collapsed="false">
      <c r="A475" s="148" t="n">
        <v>40093</v>
      </c>
      <c r="B475" s="37" t="n">
        <v>56.9807395935059</v>
      </c>
    </row>
    <row r="476" customFormat="false" ht="15" hidden="false" customHeight="false" outlineLevel="0" collapsed="false">
      <c r="A476" s="148" t="n">
        <v>40094</v>
      </c>
      <c r="B476" s="37" t="n">
        <v>56.9807395935059</v>
      </c>
    </row>
    <row r="477" customFormat="false" ht="15" hidden="false" customHeight="false" outlineLevel="0" collapsed="false">
      <c r="A477" s="148" t="n">
        <v>40095</v>
      </c>
      <c r="B477" s="37" t="n">
        <v>56.9807395935059</v>
      </c>
    </row>
    <row r="478" customFormat="false" ht="15" hidden="false" customHeight="false" outlineLevel="0" collapsed="false">
      <c r="A478" s="148" t="n">
        <v>40098</v>
      </c>
      <c r="B478" s="37" t="n">
        <v>49.9831008911133</v>
      </c>
    </row>
    <row r="479" customFormat="false" ht="15" hidden="false" customHeight="false" outlineLevel="0" collapsed="false">
      <c r="A479" s="148" t="n">
        <v>40099</v>
      </c>
      <c r="B479" s="37" t="n">
        <v>49.9831008911133</v>
      </c>
    </row>
    <row r="480" customFormat="false" ht="15" hidden="false" customHeight="false" outlineLevel="0" collapsed="false">
      <c r="A480" s="148" t="n">
        <v>40100</v>
      </c>
      <c r="B480" s="37" t="n">
        <v>49.9831008911133</v>
      </c>
    </row>
    <row r="481" customFormat="false" ht="15" hidden="false" customHeight="false" outlineLevel="0" collapsed="false">
      <c r="A481" s="148" t="n">
        <v>40101</v>
      </c>
      <c r="B481" s="37" t="n">
        <v>51.9824295043945</v>
      </c>
    </row>
    <row r="482" customFormat="false" ht="15" hidden="false" customHeight="false" outlineLevel="0" collapsed="false">
      <c r="A482" s="148" t="n">
        <v>40102</v>
      </c>
      <c r="B482" s="37" t="n">
        <v>51.9824295043945</v>
      </c>
    </row>
    <row r="483" customFormat="false" ht="15" hidden="false" customHeight="false" outlineLevel="0" collapsed="false">
      <c r="A483" s="148" t="n">
        <v>40105</v>
      </c>
      <c r="B483" s="37" t="n">
        <v>51.9824295043945</v>
      </c>
    </row>
    <row r="484" customFormat="false" ht="15" hidden="false" customHeight="false" outlineLevel="0" collapsed="false">
      <c r="A484" s="148" t="n">
        <v>40106</v>
      </c>
      <c r="B484" s="37" t="n">
        <v>51.9824295043945</v>
      </c>
    </row>
    <row r="485" customFormat="false" ht="15" hidden="false" customHeight="false" outlineLevel="0" collapsed="false">
      <c r="A485" s="148" t="n">
        <v>40107</v>
      </c>
      <c r="B485" s="37" t="n">
        <v>51.9824295043945</v>
      </c>
    </row>
    <row r="486" customFormat="false" ht="15" hidden="false" customHeight="false" outlineLevel="0" collapsed="false">
      <c r="A486" s="148" t="n">
        <v>40108</v>
      </c>
      <c r="B486" s="37" t="n">
        <v>49.9831008911133</v>
      </c>
    </row>
    <row r="487" customFormat="false" ht="15" hidden="false" customHeight="false" outlineLevel="0" collapsed="false">
      <c r="A487" s="148" t="n">
        <v>40109</v>
      </c>
      <c r="B487" s="37" t="n">
        <v>49.9831008911133</v>
      </c>
    </row>
    <row r="488" customFormat="false" ht="15" hidden="false" customHeight="false" outlineLevel="0" collapsed="false">
      <c r="A488" s="148" t="n">
        <v>40112</v>
      </c>
      <c r="B488" s="37" t="n">
        <v>49.9831008911133</v>
      </c>
    </row>
    <row r="489" customFormat="false" ht="15" hidden="false" customHeight="false" outlineLevel="0" collapsed="false">
      <c r="A489" s="148" t="n">
        <v>40113</v>
      </c>
      <c r="B489" s="37" t="n">
        <v>49.9831008911133</v>
      </c>
    </row>
    <row r="490" customFormat="false" ht="15" hidden="false" customHeight="false" outlineLevel="0" collapsed="false">
      <c r="A490" s="148" t="n">
        <v>40114</v>
      </c>
      <c r="B490" s="37" t="n">
        <v>49.9831008911133</v>
      </c>
    </row>
    <row r="491" customFormat="false" ht="15" hidden="false" customHeight="false" outlineLevel="0" collapsed="false">
      <c r="A491" s="148" t="n">
        <v>40115</v>
      </c>
      <c r="B491" s="37" t="n">
        <v>49.9831008911133</v>
      </c>
    </row>
    <row r="492" customFormat="false" ht="15" hidden="false" customHeight="false" outlineLevel="0" collapsed="false">
      <c r="A492" s="148" t="n">
        <v>40116</v>
      </c>
      <c r="B492" s="37" t="n">
        <v>49.9831008911133</v>
      </c>
    </row>
    <row r="493" customFormat="false" ht="15" hidden="false" customHeight="false" outlineLevel="0" collapsed="false">
      <c r="A493" s="148" t="n">
        <v>40119</v>
      </c>
      <c r="B493" s="37" t="n">
        <v>49.9831008911133</v>
      </c>
    </row>
    <row r="494" customFormat="false" ht="15" hidden="false" customHeight="false" outlineLevel="0" collapsed="false">
      <c r="A494" s="148" t="n">
        <v>40120</v>
      </c>
      <c r="B494" s="37" t="n">
        <v>49.9831008911133</v>
      </c>
    </row>
    <row r="495" customFormat="false" ht="15" hidden="false" customHeight="false" outlineLevel="0" collapsed="false">
      <c r="A495" s="148" t="n">
        <v>40121</v>
      </c>
      <c r="B495" s="37" t="n">
        <v>49.9831008911133</v>
      </c>
    </row>
    <row r="496" customFormat="false" ht="15" hidden="false" customHeight="false" outlineLevel="0" collapsed="false">
      <c r="A496" s="148" t="n">
        <v>40122</v>
      </c>
      <c r="B496" s="37" t="n">
        <v>48.9834403991699</v>
      </c>
    </row>
    <row r="497" customFormat="false" ht="15" hidden="false" customHeight="false" outlineLevel="0" collapsed="false">
      <c r="A497" s="148" t="n">
        <v>40123</v>
      </c>
      <c r="B497" s="37" t="n">
        <v>48.9834403991699</v>
      </c>
    </row>
    <row r="498" customFormat="false" ht="15" hidden="false" customHeight="false" outlineLevel="0" collapsed="false">
      <c r="A498" s="148" t="n">
        <v>40126</v>
      </c>
      <c r="B498" s="37" t="n">
        <v>47.9837799072266</v>
      </c>
    </row>
    <row r="499" customFormat="false" ht="15" hidden="false" customHeight="false" outlineLevel="0" collapsed="false">
      <c r="A499" s="148" t="n">
        <v>40127</v>
      </c>
      <c r="B499" s="37" t="n">
        <v>46.9841194152832</v>
      </c>
    </row>
    <row r="500" customFormat="false" ht="15" hidden="false" customHeight="false" outlineLevel="0" collapsed="false">
      <c r="A500" s="148" t="n">
        <v>40128</v>
      </c>
      <c r="B500" s="37" t="n">
        <v>46.9841194152832</v>
      </c>
    </row>
    <row r="501" customFormat="false" ht="15" hidden="false" customHeight="false" outlineLevel="0" collapsed="false">
      <c r="A501" s="148" t="n">
        <v>40129</v>
      </c>
      <c r="B501" s="37" t="n">
        <v>46.9841194152832</v>
      </c>
    </row>
    <row r="502" customFormat="false" ht="15" hidden="false" customHeight="false" outlineLevel="0" collapsed="false">
      <c r="A502" s="148" t="n">
        <v>40130</v>
      </c>
      <c r="B502" s="37" t="n">
        <v>46.9841194152832</v>
      </c>
    </row>
    <row r="503" customFormat="false" ht="15" hidden="false" customHeight="false" outlineLevel="0" collapsed="false">
      <c r="A503" s="148" t="n">
        <v>40133</v>
      </c>
      <c r="B503" s="37" t="n">
        <v>46.9841194152832</v>
      </c>
    </row>
    <row r="504" customFormat="false" ht="15" hidden="false" customHeight="false" outlineLevel="0" collapsed="false">
      <c r="A504" s="148" t="n">
        <v>40134</v>
      </c>
      <c r="B504" s="37" t="n">
        <v>46.9841194152832</v>
      </c>
    </row>
    <row r="505" customFormat="false" ht="15" hidden="false" customHeight="false" outlineLevel="0" collapsed="false">
      <c r="A505" s="148" t="n">
        <v>40135</v>
      </c>
      <c r="B505" s="37" t="n">
        <v>46.9841194152832</v>
      </c>
    </row>
    <row r="506" customFormat="false" ht="15" hidden="false" customHeight="false" outlineLevel="0" collapsed="false">
      <c r="A506" s="148" t="n">
        <v>40136</v>
      </c>
      <c r="B506" s="37" t="n">
        <v>46.9841194152832</v>
      </c>
    </row>
    <row r="507" customFormat="false" ht="15" hidden="false" customHeight="false" outlineLevel="0" collapsed="false">
      <c r="A507" s="148" t="n">
        <v>40137</v>
      </c>
      <c r="B507" s="37" t="n">
        <v>46.9841194152832</v>
      </c>
    </row>
    <row r="508" customFormat="false" ht="15" hidden="false" customHeight="false" outlineLevel="0" collapsed="false">
      <c r="A508" s="148" t="n">
        <v>40140</v>
      </c>
      <c r="B508" s="37" t="n">
        <v>46.9841194152832</v>
      </c>
    </row>
    <row r="509" customFormat="false" ht="15" hidden="false" customHeight="false" outlineLevel="0" collapsed="false">
      <c r="A509" s="148" t="n">
        <v>40141</v>
      </c>
      <c r="B509" s="37" t="n">
        <v>46.9841194152832</v>
      </c>
    </row>
    <row r="510" customFormat="false" ht="15" hidden="false" customHeight="false" outlineLevel="0" collapsed="false">
      <c r="A510" s="148" t="n">
        <v>40142</v>
      </c>
      <c r="B510" s="37" t="n">
        <v>46.9841194152832</v>
      </c>
    </row>
    <row r="511" customFormat="false" ht="15" hidden="false" customHeight="false" outlineLevel="0" collapsed="false">
      <c r="A511" s="148" t="n">
        <v>40143</v>
      </c>
      <c r="B511" s="37" t="n">
        <v>46.9841194152832</v>
      </c>
    </row>
    <row r="512" customFormat="false" ht="15" hidden="false" customHeight="false" outlineLevel="0" collapsed="false">
      <c r="A512" s="148" t="n">
        <v>40144</v>
      </c>
      <c r="B512" s="37" t="n">
        <v>46.9841194152832</v>
      </c>
    </row>
    <row r="513" customFormat="false" ht="15" hidden="false" customHeight="false" outlineLevel="0" collapsed="false">
      <c r="A513" s="148" t="n">
        <v>40147</v>
      </c>
      <c r="B513" s="37" t="n">
        <v>46.9841194152832</v>
      </c>
    </row>
    <row r="514" customFormat="false" ht="15" hidden="false" customHeight="false" outlineLevel="0" collapsed="false">
      <c r="A514" s="148" t="n">
        <v>40148</v>
      </c>
      <c r="B514" s="37" t="n">
        <v>46.9841194152832</v>
      </c>
    </row>
    <row r="515" customFormat="false" ht="15" hidden="false" customHeight="false" outlineLevel="0" collapsed="false">
      <c r="A515" s="148" t="n">
        <v>40149</v>
      </c>
      <c r="B515" s="37" t="n">
        <v>46.9841194152832</v>
      </c>
    </row>
    <row r="516" customFormat="false" ht="15" hidden="false" customHeight="false" outlineLevel="0" collapsed="false">
      <c r="A516" s="148" t="n">
        <v>40150</v>
      </c>
      <c r="B516" s="37" t="n">
        <v>46.9841194152832</v>
      </c>
    </row>
    <row r="517" customFormat="false" ht="15" hidden="false" customHeight="false" outlineLevel="0" collapsed="false">
      <c r="A517" s="148" t="n">
        <v>40151</v>
      </c>
      <c r="B517" s="37" t="n">
        <v>46.9841194152832</v>
      </c>
    </row>
    <row r="518" customFormat="false" ht="15" hidden="false" customHeight="false" outlineLevel="0" collapsed="false">
      <c r="A518" s="148" t="n">
        <v>40154</v>
      </c>
      <c r="B518" s="37" t="n">
        <v>46.9841194152832</v>
      </c>
    </row>
    <row r="519" customFormat="false" ht="15" hidden="false" customHeight="false" outlineLevel="0" collapsed="false">
      <c r="A519" s="148" t="n">
        <v>40155</v>
      </c>
      <c r="B519" s="37" t="n">
        <v>46.9841194152832</v>
      </c>
    </row>
    <row r="520" customFormat="false" ht="15" hidden="false" customHeight="false" outlineLevel="0" collapsed="false">
      <c r="A520" s="148" t="n">
        <v>40156</v>
      </c>
      <c r="B520" s="37" t="n">
        <v>46.9841194152832</v>
      </c>
    </row>
    <row r="521" customFormat="false" ht="15" hidden="false" customHeight="false" outlineLevel="0" collapsed="false">
      <c r="A521" s="148" t="n">
        <v>40157</v>
      </c>
      <c r="B521" s="37" t="n">
        <v>46.9841194152832</v>
      </c>
    </row>
    <row r="522" customFormat="false" ht="15" hidden="false" customHeight="false" outlineLevel="0" collapsed="false">
      <c r="A522" s="148" t="n">
        <v>40158</v>
      </c>
      <c r="B522" s="37" t="n">
        <v>46.9841194152832</v>
      </c>
    </row>
    <row r="523" customFormat="false" ht="15" hidden="false" customHeight="false" outlineLevel="0" collapsed="false">
      <c r="A523" s="148" t="n">
        <v>40161</v>
      </c>
      <c r="B523" s="37" t="n">
        <v>39.9864807128906</v>
      </c>
    </row>
    <row r="524" customFormat="false" ht="15" hidden="false" customHeight="false" outlineLevel="0" collapsed="false">
      <c r="A524" s="148" t="n">
        <v>40162</v>
      </c>
      <c r="B524" s="37" t="n">
        <v>39.9864807128906</v>
      </c>
    </row>
    <row r="525" customFormat="false" ht="15" hidden="false" customHeight="false" outlineLevel="0" collapsed="false">
      <c r="A525" s="148" t="n">
        <v>40164</v>
      </c>
      <c r="B525" s="37" t="n">
        <v>39.9864807128906</v>
      </c>
    </row>
    <row r="526" customFormat="false" ht="15" hidden="false" customHeight="false" outlineLevel="0" collapsed="false">
      <c r="A526" s="148" t="n">
        <v>40165</v>
      </c>
      <c r="B526" s="37" t="n">
        <v>39.9864807128906</v>
      </c>
    </row>
    <row r="527" customFormat="false" ht="15" hidden="false" customHeight="false" outlineLevel="0" collapsed="false">
      <c r="A527" s="148" t="n">
        <v>40168</v>
      </c>
      <c r="B527" s="37" t="n">
        <v>39.9864807128906</v>
      </c>
    </row>
    <row r="528" customFormat="false" ht="15" hidden="false" customHeight="false" outlineLevel="0" collapsed="false">
      <c r="A528" s="148" t="n">
        <v>40169</v>
      </c>
      <c r="B528" s="37" t="n">
        <v>39.9864807128906</v>
      </c>
    </row>
    <row r="529" customFormat="false" ht="15" hidden="false" customHeight="false" outlineLevel="0" collapsed="false">
      <c r="A529" s="148" t="n">
        <v>40170</v>
      </c>
      <c r="B529" s="37" t="n">
        <v>39.9864807128906</v>
      </c>
    </row>
    <row r="530" customFormat="false" ht="15" hidden="false" customHeight="false" outlineLevel="0" collapsed="false">
      <c r="A530" s="148" t="n">
        <v>40171</v>
      </c>
      <c r="B530" s="37" t="n">
        <v>39.9864807128906</v>
      </c>
    </row>
    <row r="531" customFormat="false" ht="15" hidden="false" customHeight="false" outlineLevel="0" collapsed="false">
      <c r="A531" s="148" t="n">
        <v>40175</v>
      </c>
      <c r="B531" s="37" t="n">
        <v>39.9864807128906</v>
      </c>
    </row>
    <row r="532" customFormat="false" ht="15" hidden="false" customHeight="false" outlineLevel="0" collapsed="false">
      <c r="A532" s="148" t="n">
        <v>40176</v>
      </c>
      <c r="B532" s="37" t="n">
        <v>39.9864807128906</v>
      </c>
    </row>
    <row r="533" customFormat="false" ht="15" hidden="false" customHeight="false" outlineLevel="0" collapsed="false">
      <c r="A533" s="148" t="n">
        <v>40177</v>
      </c>
      <c r="B533" s="37" t="n">
        <v>39.9864807128906</v>
      </c>
    </row>
    <row r="534" customFormat="false" ht="15" hidden="false" customHeight="false" outlineLevel="0" collapsed="false">
      <c r="A534" s="148" t="n">
        <v>40178</v>
      </c>
      <c r="B534" s="37" t="n">
        <v>39.9864807128906</v>
      </c>
    </row>
    <row r="535" customFormat="false" ht="15" hidden="false" customHeight="false" outlineLevel="0" collapsed="false">
      <c r="A535" s="148" t="n">
        <v>40179</v>
      </c>
      <c r="B535" s="37" t="n">
        <v>39.9864807128906</v>
      </c>
    </row>
    <row r="536" customFormat="false" ht="15" hidden="false" customHeight="false" outlineLevel="0" collapsed="false">
      <c r="A536" s="148" t="n">
        <v>40182</v>
      </c>
      <c r="B536" s="37" t="n">
        <v>39.9864807128906</v>
      </c>
    </row>
    <row r="537" customFormat="false" ht="15" hidden="false" customHeight="false" outlineLevel="0" collapsed="false">
      <c r="A537" s="148" t="n">
        <v>40183</v>
      </c>
      <c r="B537" s="37" t="n">
        <v>39.9864807128906</v>
      </c>
    </row>
    <row r="538" customFormat="false" ht="15" hidden="false" customHeight="false" outlineLevel="0" collapsed="false">
      <c r="A538" s="148" t="n">
        <v>40184</v>
      </c>
      <c r="B538" s="37" t="n">
        <v>39.9864807128906</v>
      </c>
    </row>
    <row r="539" customFormat="false" ht="15" hidden="false" customHeight="false" outlineLevel="0" collapsed="false">
      <c r="A539" s="148" t="n">
        <v>40185</v>
      </c>
      <c r="B539" s="37" t="n">
        <v>39.9864807128906</v>
      </c>
    </row>
    <row r="540" customFormat="false" ht="15" hidden="false" customHeight="false" outlineLevel="0" collapsed="false">
      <c r="A540" s="148" t="n">
        <v>40186</v>
      </c>
      <c r="B540" s="37" t="n">
        <v>39.9864807128906</v>
      </c>
    </row>
    <row r="541" customFormat="false" ht="15" hidden="false" customHeight="false" outlineLevel="0" collapsed="false">
      <c r="A541" s="148" t="n">
        <v>40189</v>
      </c>
      <c r="B541" s="37" t="n">
        <v>39.9864807128906</v>
      </c>
    </row>
    <row r="542" customFormat="false" ht="15" hidden="false" customHeight="false" outlineLevel="0" collapsed="false">
      <c r="A542" s="148" t="n">
        <v>40190</v>
      </c>
      <c r="B542" s="37" t="n">
        <v>39.9864807128906</v>
      </c>
    </row>
    <row r="543" customFormat="false" ht="15" hidden="false" customHeight="false" outlineLevel="0" collapsed="false">
      <c r="A543" s="148" t="n">
        <v>40191</v>
      </c>
      <c r="B543" s="37" t="n">
        <v>34.9881706237793</v>
      </c>
    </row>
    <row r="544" customFormat="false" ht="15" hidden="false" customHeight="false" outlineLevel="0" collapsed="false">
      <c r="A544" s="148" t="n">
        <v>40192</v>
      </c>
      <c r="B544" s="37" t="n">
        <v>34.9881706237793</v>
      </c>
    </row>
    <row r="545" customFormat="false" ht="15" hidden="false" customHeight="false" outlineLevel="0" collapsed="false">
      <c r="A545" s="148" t="n">
        <v>40193</v>
      </c>
      <c r="B545" s="37" t="n">
        <v>34.9881706237793</v>
      </c>
    </row>
    <row r="546" customFormat="false" ht="15" hidden="false" customHeight="false" outlineLevel="0" collapsed="false">
      <c r="A546" s="148" t="n">
        <v>40196</v>
      </c>
      <c r="B546" s="37" t="n">
        <v>34.9881706237793</v>
      </c>
    </row>
    <row r="547" customFormat="false" ht="15" hidden="false" customHeight="false" outlineLevel="0" collapsed="false">
      <c r="A547" s="148" t="n">
        <v>40197</v>
      </c>
      <c r="B547" s="37" t="n">
        <v>34.9881706237793</v>
      </c>
    </row>
    <row r="548" customFormat="false" ht="15" hidden="false" customHeight="false" outlineLevel="0" collapsed="false">
      <c r="A548" s="148" t="n">
        <v>40198</v>
      </c>
      <c r="B548" s="37" t="n">
        <v>34.9881706237793</v>
      </c>
    </row>
    <row r="549" customFormat="false" ht="15" hidden="false" customHeight="false" outlineLevel="0" collapsed="false">
      <c r="A549" s="148" t="n">
        <v>40199</v>
      </c>
      <c r="B549" s="37" t="n">
        <v>34.9881706237793</v>
      </c>
    </row>
    <row r="550" customFormat="false" ht="15" hidden="false" customHeight="false" outlineLevel="0" collapsed="false">
      <c r="A550" s="148" t="n">
        <v>40200</v>
      </c>
      <c r="B550" s="37" t="n">
        <v>25.9912147521973</v>
      </c>
    </row>
    <row r="551" customFormat="false" ht="15" hidden="false" customHeight="false" outlineLevel="0" collapsed="false">
      <c r="A551" s="148" t="n">
        <v>40203</v>
      </c>
      <c r="B551" s="37" t="n">
        <v>25.9912147521973</v>
      </c>
    </row>
    <row r="552" customFormat="false" ht="15" hidden="false" customHeight="false" outlineLevel="0" collapsed="false">
      <c r="A552" s="148" t="n">
        <v>40204</v>
      </c>
      <c r="B552" s="37" t="n">
        <v>34.9881706237793</v>
      </c>
    </row>
    <row r="553" customFormat="false" ht="15" hidden="false" customHeight="false" outlineLevel="0" collapsed="false">
      <c r="A553" s="148" t="n">
        <v>40205</v>
      </c>
      <c r="B553" s="37" t="n">
        <v>34.9881706237793</v>
      </c>
    </row>
    <row r="554" customFormat="false" ht="15" hidden="false" customHeight="false" outlineLevel="0" collapsed="false">
      <c r="A554" s="148" t="n">
        <v>40206</v>
      </c>
      <c r="B554" s="37" t="n">
        <v>35.9878349304199</v>
      </c>
    </row>
    <row r="555" customFormat="false" ht="15" hidden="false" customHeight="false" outlineLevel="0" collapsed="false">
      <c r="A555" s="148" t="n">
        <v>40207</v>
      </c>
      <c r="B555" s="37" t="n">
        <v>35.9878349304199</v>
      </c>
    </row>
    <row r="556" customFormat="false" ht="15" hidden="false" customHeight="false" outlineLevel="0" collapsed="false">
      <c r="A556" s="148" t="n">
        <v>40210</v>
      </c>
      <c r="B556" s="37" t="n">
        <v>35.9878349304199</v>
      </c>
    </row>
    <row r="557" customFormat="false" ht="15" hidden="false" customHeight="false" outlineLevel="0" collapsed="false">
      <c r="A557" s="148" t="n">
        <v>40211</v>
      </c>
      <c r="B557" s="37" t="n">
        <v>35.9878349304199</v>
      </c>
    </row>
    <row r="558" customFormat="false" ht="15" hidden="false" customHeight="false" outlineLevel="0" collapsed="false">
      <c r="A558" s="148" t="n">
        <v>40212</v>
      </c>
      <c r="B558" s="37" t="n">
        <v>35.9878349304199</v>
      </c>
    </row>
    <row r="559" customFormat="false" ht="15" hidden="false" customHeight="false" outlineLevel="0" collapsed="false">
      <c r="A559" s="148" t="n">
        <v>40213</v>
      </c>
      <c r="B559" s="37" t="n">
        <v>35.9878349304199</v>
      </c>
    </row>
    <row r="560" customFormat="false" ht="15" hidden="false" customHeight="false" outlineLevel="0" collapsed="false">
      <c r="A560" s="148" t="n">
        <v>40214</v>
      </c>
      <c r="B560" s="37" t="n">
        <v>35.9878349304199</v>
      </c>
    </row>
    <row r="561" customFormat="false" ht="15" hidden="false" customHeight="false" outlineLevel="0" collapsed="false">
      <c r="A561" s="148" t="n">
        <v>40217</v>
      </c>
      <c r="B561" s="37" t="n">
        <v>35.9878349304199</v>
      </c>
    </row>
    <row r="562" customFormat="false" ht="15" hidden="false" customHeight="false" outlineLevel="0" collapsed="false">
      <c r="A562" s="148" t="n">
        <v>40218</v>
      </c>
      <c r="B562" s="37" t="n">
        <v>35.9878349304199</v>
      </c>
    </row>
    <row r="563" customFormat="false" ht="15" hidden="false" customHeight="false" outlineLevel="0" collapsed="false">
      <c r="A563" s="148" t="n">
        <v>40219</v>
      </c>
      <c r="B563" s="37" t="n">
        <v>37.9871597290039</v>
      </c>
    </row>
    <row r="564" customFormat="false" ht="15" hidden="false" customHeight="false" outlineLevel="0" collapsed="false">
      <c r="A564" s="148" t="n">
        <v>40220</v>
      </c>
      <c r="B564" s="37" t="n">
        <v>37.9871597290039</v>
      </c>
    </row>
    <row r="565" customFormat="false" ht="15" hidden="false" customHeight="false" outlineLevel="0" collapsed="false">
      <c r="A565" s="148" t="n">
        <v>40221</v>
      </c>
      <c r="B565" s="37" t="n">
        <v>37.9871597290039</v>
      </c>
    </row>
    <row r="566" customFormat="false" ht="15" hidden="false" customHeight="false" outlineLevel="0" collapsed="false">
      <c r="A566" s="148" t="n">
        <v>40224</v>
      </c>
      <c r="B566" s="37" t="n">
        <v>37.9871597290039</v>
      </c>
    </row>
    <row r="567" customFormat="false" ht="15" hidden="false" customHeight="false" outlineLevel="0" collapsed="false">
      <c r="A567" s="148" t="n">
        <v>40225</v>
      </c>
      <c r="B567" s="37" t="n">
        <v>37.9871597290039</v>
      </c>
    </row>
    <row r="568" customFormat="false" ht="15" hidden="false" customHeight="false" outlineLevel="0" collapsed="false">
      <c r="A568" s="148" t="n">
        <v>40226</v>
      </c>
      <c r="B568" s="37" t="n">
        <v>37.9871597290039</v>
      </c>
    </row>
    <row r="569" customFormat="false" ht="15" hidden="false" customHeight="false" outlineLevel="0" collapsed="false">
      <c r="A569" s="148" t="n">
        <v>40227</v>
      </c>
      <c r="B569" s="37" t="n">
        <v>37.9871597290039</v>
      </c>
    </row>
    <row r="570" customFormat="false" ht="15" hidden="false" customHeight="false" outlineLevel="0" collapsed="false">
      <c r="A570" s="148" t="n">
        <v>40228</v>
      </c>
      <c r="B570" s="37" t="n">
        <v>37.9871597290039</v>
      </c>
    </row>
    <row r="571" customFormat="false" ht="15" hidden="false" customHeight="false" outlineLevel="0" collapsed="false">
      <c r="A571" s="148" t="n">
        <v>40231</v>
      </c>
      <c r="B571" s="37" t="n">
        <v>37.9871597290039</v>
      </c>
    </row>
    <row r="572" customFormat="false" ht="15" hidden="false" customHeight="false" outlineLevel="0" collapsed="false">
      <c r="A572" s="148" t="n">
        <v>40232</v>
      </c>
      <c r="B572" s="37" t="n">
        <v>37.9871597290039</v>
      </c>
    </row>
    <row r="573" customFormat="false" ht="15" hidden="false" customHeight="false" outlineLevel="0" collapsed="false">
      <c r="A573" s="148" t="n">
        <v>40233</v>
      </c>
      <c r="B573" s="37" t="n">
        <v>37.9871597290039</v>
      </c>
    </row>
    <row r="574" customFormat="false" ht="15" hidden="false" customHeight="false" outlineLevel="0" collapsed="false">
      <c r="A574" s="148" t="n">
        <v>40234</v>
      </c>
      <c r="B574" s="37" t="n">
        <v>37.9871597290039</v>
      </c>
    </row>
    <row r="575" customFormat="false" ht="15" hidden="false" customHeight="false" outlineLevel="0" collapsed="false">
      <c r="A575" s="148" t="n">
        <v>40235</v>
      </c>
      <c r="B575" s="37" t="n">
        <v>37.9871597290039</v>
      </c>
    </row>
    <row r="576" customFormat="false" ht="15" hidden="false" customHeight="false" outlineLevel="0" collapsed="false">
      <c r="A576" s="148" t="n">
        <v>40238</v>
      </c>
      <c r="B576" s="37" t="n">
        <v>37.9871597290039</v>
      </c>
    </row>
    <row r="577" customFormat="false" ht="15" hidden="false" customHeight="false" outlineLevel="0" collapsed="false">
      <c r="A577" s="148" t="n">
        <v>40239</v>
      </c>
      <c r="B577" s="37" t="n">
        <v>37.9871597290039</v>
      </c>
    </row>
    <row r="578" customFormat="false" ht="15" hidden="false" customHeight="false" outlineLevel="0" collapsed="false">
      <c r="A578" s="148" t="n">
        <v>40240</v>
      </c>
      <c r="B578" s="37" t="n">
        <v>37.9871597290039</v>
      </c>
    </row>
    <row r="579" customFormat="false" ht="15" hidden="false" customHeight="false" outlineLevel="0" collapsed="false">
      <c r="A579" s="148" t="n">
        <v>40241</v>
      </c>
      <c r="B579" s="37" t="n">
        <v>37.9871597290039</v>
      </c>
    </row>
    <row r="580" customFormat="false" ht="15" hidden="false" customHeight="false" outlineLevel="0" collapsed="false">
      <c r="A580" s="148" t="n">
        <v>40242</v>
      </c>
      <c r="B580" s="37" t="n">
        <v>29.9898624420166</v>
      </c>
    </row>
    <row r="581" customFormat="false" ht="15" hidden="false" customHeight="false" outlineLevel="0" collapsed="false">
      <c r="A581" s="148" t="n">
        <v>40245</v>
      </c>
      <c r="B581" s="37" t="n">
        <v>29.9898624420166</v>
      </c>
    </row>
    <row r="582" customFormat="false" ht="15" hidden="false" customHeight="false" outlineLevel="0" collapsed="false">
      <c r="A582" s="148" t="n">
        <v>40246</v>
      </c>
      <c r="B582" s="37" t="n">
        <v>29.9898624420166</v>
      </c>
    </row>
    <row r="583" customFormat="false" ht="15" hidden="false" customHeight="false" outlineLevel="0" collapsed="false">
      <c r="A583" s="148" t="n">
        <v>40247</v>
      </c>
      <c r="B583" s="37" t="n">
        <v>29.9898624420166</v>
      </c>
    </row>
    <row r="584" customFormat="false" ht="15" hidden="false" customHeight="false" outlineLevel="0" collapsed="false">
      <c r="A584" s="148" t="n">
        <v>40248</v>
      </c>
      <c r="B584" s="37" t="n">
        <v>34.9881706237793</v>
      </c>
    </row>
    <row r="585" customFormat="false" ht="15" hidden="false" customHeight="false" outlineLevel="0" collapsed="false">
      <c r="A585" s="148" t="n">
        <v>40249</v>
      </c>
      <c r="B585" s="37" t="n">
        <v>34.9881706237793</v>
      </c>
    </row>
    <row r="586" customFormat="false" ht="15" hidden="false" customHeight="false" outlineLevel="0" collapsed="false">
      <c r="A586" s="148" t="n">
        <v>40252</v>
      </c>
      <c r="B586" s="37" t="n">
        <v>34.9881706237793</v>
      </c>
    </row>
    <row r="587" customFormat="false" ht="15" hidden="false" customHeight="false" outlineLevel="0" collapsed="false">
      <c r="A587" s="148" t="n">
        <v>40253</v>
      </c>
      <c r="B587" s="37" t="n">
        <v>34.9881706237793</v>
      </c>
    </row>
    <row r="588" customFormat="false" ht="15" hidden="false" customHeight="false" outlineLevel="0" collapsed="false">
      <c r="A588" s="148" t="n">
        <v>40254</v>
      </c>
      <c r="B588" s="37" t="n">
        <v>33.9885101318359</v>
      </c>
    </row>
    <row r="589" customFormat="false" ht="15" hidden="false" customHeight="false" outlineLevel="0" collapsed="false">
      <c r="A589" s="148" t="n">
        <v>40255</v>
      </c>
      <c r="B589" s="37" t="n">
        <v>30.9895248413086</v>
      </c>
    </row>
    <row r="590" customFormat="false" ht="15" hidden="false" customHeight="false" outlineLevel="0" collapsed="false">
      <c r="A590" s="148" t="n">
        <v>40256</v>
      </c>
      <c r="B590" s="37" t="n">
        <v>30.9895248413086</v>
      </c>
    </row>
    <row r="591" customFormat="false" ht="15" hidden="false" customHeight="false" outlineLevel="0" collapsed="false">
      <c r="A591" s="148" t="n">
        <v>40259</v>
      </c>
      <c r="B591" s="37" t="n">
        <v>30.9895248413086</v>
      </c>
    </row>
    <row r="592" customFormat="false" ht="15" hidden="false" customHeight="false" outlineLevel="0" collapsed="false">
      <c r="A592" s="148" t="n">
        <v>40260</v>
      </c>
      <c r="B592" s="37" t="n">
        <v>33.9885101318359</v>
      </c>
    </row>
    <row r="593" customFormat="false" ht="15" hidden="false" customHeight="false" outlineLevel="0" collapsed="false">
      <c r="A593" s="148" t="n">
        <v>40261</v>
      </c>
      <c r="B593" s="37" t="n">
        <v>33.9885101318359</v>
      </c>
    </row>
    <row r="594" customFormat="false" ht="15" hidden="false" customHeight="false" outlineLevel="0" collapsed="false">
      <c r="A594" s="148" t="n">
        <v>40262</v>
      </c>
      <c r="B594" s="37" t="n">
        <v>33.9885101318359</v>
      </c>
    </row>
    <row r="595" customFormat="false" ht="15" hidden="false" customHeight="false" outlineLevel="0" collapsed="false">
      <c r="A595" s="148" t="n">
        <v>40263</v>
      </c>
      <c r="B595" s="37" t="n">
        <v>33.9885101318359</v>
      </c>
    </row>
    <row r="596" customFormat="false" ht="15" hidden="false" customHeight="false" outlineLevel="0" collapsed="false">
      <c r="A596" s="148" t="n">
        <v>40266</v>
      </c>
      <c r="B596" s="37" t="n">
        <v>33.9885101318359</v>
      </c>
    </row>
    <row r="597" customFormat="false" ht="15" hidden="false" customHeight="false" outlineLevel="0" collapsed="false">
      <c r="A597" s="148" t="n">
        <v>40267</v>
      </c>
      <c r="B597" s="37" t="n">
        <v>33.9885101318359</v>
      </c>
    </row>
    <row r="598" customFormat="false" ht="15" hidden="false" customHeight="false" outlineLevel="0" collapsed="false">
      <c r="A598" s="148" t="n">
        <v>40268</v>
      </c>
      <c r="B598" s="37" t="n">
        <v>33.9885101318359</v>
      </c>
    </row>
    <row r="599" customFormat="false" ht="15" hidden="false" customHeight="false" outlineLevel="0" collapsed="false">
      <c r="A599" s="148" t="n">
        <v>40269</v>
      </c>
      <c r="B599" s="37" t="n">
        <v>33.9885101318359</v>
      </c>
    </row>
    <row r="600" customFormat="false" ht="15" hidden="false" customHeight="false" outlineLevel="0" collapsed="false">
      <c r="A600" s="148" t="n">
        <v>40270</v>
      </c>
      <c r="B600" s="37" t="n">
        <v>33.9885101318359</v>
      </c>
    </row>
    <row r="601" customFormat="false" ht="15" hidden="false" customHeight="false" outlineLevel="0" collapsed="false">
      <c r="A601" s="148" t="n">
        <v>40273</v>
      </c>
      <c r="B601" s="37" t="n">
        <v>33.9885101318359</v>
      </c>
    </row>
    <row r="602" customFormat="false" ht="15" hidden="false" customHeight="false" outlineLevel="0" collapsed="false">
      <c r="A602" s="148" t="n">
        <v>40274</v>
      </c>
      <c r="B602" s="37" t="n">
        <v>33.9885101318359</v>
      </c>
    </row>
    <row r="603" customFormat="false" ht="15" hidden="false" customHeight="false" outlineLevel="0" collapsed="false">
      <c r="A603" s="148" t="n">
        <v>40275</v>
      </c>
      <c r="B603" s="37" t="n">
        <v>33.9885101318359</v>
      </c>
    </row>
    <row r="604" customFormat="false" ht="15" hidden="false" customHeight="false" outlineLevel="0" collapsed="false">
      <c r="A604" s="148" t="n">
        <v>40276</v>
      </c>
      <c r="B604" s="37" t="n">
        <v>33.9885101318359</v>
      </c>
    </row>
    <row r="605" customFormat="false" ht="15" hidden="false" customHeight="false" outlineLevel="0" collapsed="false">
      <c r="A605" s="148" t="n">
        <v>40277</v>
      </c>
      <c r="B605" s="37" t="n">
        <v>30.9895248413086</v>
      </c>
    </row>
    <row r="606" customFormat="false" ht="15" hidden="false" customHeight="false" outlineLevel="0" collapsed="false">
      <c r="A606" s="148" t="n">
        <v>40280</v>
      </c>
      <c r="B606" s="37" t="n">
        <v>30.9895248413086</v>
      </c>
    </row>
    <row r="607" customFormat="false" ht="15" hidden="false" customHeight="false" outlineLevel="0" collapsed="false">
      <c r="A607" s="148" t="n">
        <v>40281</v>
      </c>
      <c r="B607" s="37" t="n">
        <v>30.9895248413086</v>
      </c>
    </row>
    <row r="608" customFormat="false" ht="15" hidden="false" customHeight="false" outlineLevel="0" collapsed="false">
      <c r="A608" s="148" t="n">
        <v>40282</v>
      </c>
      <c r="B608" s="37" t="n">
        <v>30.9895248413086</v>
      </c>
    </row>
    <row r="609" customFormat="false" ht="15" hidden="false" customHeight="false" outlineLevel="0" collapsed="false">
      <c r="A609" s="148" t="n">
        <v>40283</v>
      </c>
      <c r="B609" s="37" t="n">
        <v>30.9895248413086</v>
      </c>
    </row>
    <row r="610" customFormat="false" ht="15" hidden="false" customHeight="false" outlineLevel="0" collapsed="false">
      <c r="A610" s="148" t="n">
        <v>40284</v>
      </c>
      <c r="B610" s="37" t="n">
        <v>30.9895248413086</v>
      </c>
    </row>
    <row r="611" customFormat="false" ht="15" hidden="false" customHeight="false" outlineLevel="0" collapsed="false">
      <c r="A611" s="148" t="n">
        <v>40287</v>
      </c>
      <c r="B611" s="37" t="n">
        <v>30.9895248413086</v>
      </c>
    </row>
    <row r="612" customFormat="false" ht="15" hidden="false" customHeight="false" outlineLevel="0" collapsed="false">
      <c r="A612" s="148" t="n">
        <v>40288</v>
      </c>
      <c r="B612" s="37" t="n">
        <v>30.9895248413086</v>
      </c>
    </row>
    <row r="613" customFormat="false" ht="15" hidden="false" customHeight="false" outlineLevel="0" collapsed="false">
      <c r="A613" s="148" t="n">
        <v>40289</v>
      </c>
      <c r="B613" s="37" t="n">
        <v>30.9895248413086</v>
      </c>
    </row>
    <row r="614" customFormat="false" ht="15" hidden="false" customHeight="false" outlineLevel="0" collapsed="false">
      <c r="A614" s="148" t="n">
        <v>40290</v>
      </c>
      <c r="B614" s="37" t="n">
        <v>33.9885101318359</v>
      </c>
    </row>
    <row r="615" customFormat="false" ht="15" hidden="false" customHeight="false" outlineLevel="0" collapsed="false">
      <c r="A615" s="148" t="n">
        <v>40291</v>
      </c>
      <c r="B615" s="37" t="n">
        <v>33.9885101318359</v>
      </c>
    </row>
    <row r="616" customFormat="false" ht="15" hidden="false" customHeight="false" outlineLevel="0" collapsed="false">
      <c r="A616" s="148" t="n">
        <v>40294</v>
      </c>
      <c r="B616" s="37" t="n">
        <v>33.9885101318359</v>
      </c>
    </row>
    <row r="617" customFormat="false" ht="15" hidden="false" customHeight="false" outlineLevel="0" collapsed="false">
      <c r="A617" s="148" t="n">
        <v>40295</v>
      </c>
      <c r="B617" s="37" t="n">
        <v>33.9885101318359</v>
      </c>
    </row>
    <row r="618" customFormat="false" ht="15" hidden="false" customHeight="false" outlineLevel="0" collapsed="false">
      <c r="A618" s="148" t="n">
        <v>40296</v>
      </c>
      <c r="B618" s="37" t="n">
        <v>33.9885101318359</v>
      </c>
    </row>
    <row r="619" customFormat="false" ht="15" hidden="false" customHeight="false" outlineLevel="0" collapsed="false">
      <c r="A619" s="148" t="n">
        <v>40297</v>
      </c>
      <c r="B619" s="37" t="n">
        <v>33.9885101318359</v>
      </c>
    </row>
    <row r="620" customFormat="false" ht="15" hidden="false" customHeight="false" outlineLevel="0" collapsed="false">
      <c r="A620" s="148" t="n">
        <v>40298</v>
      </c>
      <c r="B620" s="37" t="n">
        <v>31.989185333252</v>
      </c>
    </row>
    <row r="621" customFormat="false" ht="15" hidden="false" customHeight="false" outlineLevel="0" collapsed="false">
      <c r="A621" s="148" t="n">
        <v>40301</v>
      </c>
      <c r="B621" s="37" t="n">
        <v>31.989185333252</v>
      </c>
    </row>
    <row r="622" customFormat="false" ht="15" hidden="false" customHeight="false" outlineLevel="0" collapsed="false">
      <c r="A622" s="148" t="n">
        <v>40302</v>
      </c>
      <c r="B622" s="37" t="n">
        <v>31.989185333252</v>
      </c>
    </row>
    <row r="623" customFormat="false" ht="15" hidden="false" customHeight="false" outlineLevel="0" collapsed="false">
      <c r="A623" s="148" t="n">
        <v>40303</v>
      </c>
      <c r="B623" s="37" t="n">
        <v>29.9898624420166</v>
      </c>
    </row>
    <row r="624" customFormat="false" ht="15" hidden="false" customHeight="false" outlineLevel="0" collapsed="false">
      <c r="A624" s="148" t="n">
        <v>40304</v>
      </c>
      <c r="B624" s="37" t="n">
        <v>34.9881706237793</v>
      </c>
    </row>
    <row r="625" customFormat="false" ht="15" hidden="false" customHeight="false" outlineLevel="0" collapsed="false">
      <c r="A625" s="148" t="n">
        <v>40305</v>
      </c>
      <c r="B625" s="37" t="n">
        <v>34.9881706237793</v>
      </c>
    </row>
    <row r="626" customFormat="false" ht="15" hidden="false" customHeight="false" outlineLevel="0" collapsed="false">
      <c r="A626" s="148" t="n">
        <v>40308</v>
      </c>
      <c r="B626" s="37" t="n">
        <v>34.9881706237793</v>
      </c>
    </row>
    <row r="627" customFormat="false" ht="15" hidden="false" customHeight="false" outlineLevel="0" collapsed="false">
      <c r="A627" s="148" t="n">
        <v>40309</v>
      </c>
      <c r="B627" s="37" t="n">
        <v>31.989185333252</v>
      </c>
    </row>
    <row r="628" customFormat="false" ht="15" hidden="false" customHeight="false" outlineLevel="0" collapsed="false">
      <c r="A628" s="148" t="n">
        <v>40310</v>
      </c>
      <c r="B628" s="37" t="n">
        <v>31.989185333252</v>
      </c>
    </row>
    <row r="629" customFormat="false" ht="15" hidden="false" customHeight="false" outlineLevel="0" collapsed="false">
      <c r="A629" s="148" t="n">
        <v>40311</v>
      </c>
      <c r="B629" s="37" t="n">
        <v>31.989185333252</v>
      </c>
    </row>
    <row r="630" customFormat="false" ht="15" hidden="false" customHeight="false" outlineLevel="0" collapsed="false">
      <c r="A630" s="148" t="n">
        <v>40312</v>
      </c>
      <c r="B630" s="37" t="n">
        <v>34.9881706237793</v>
      </c>
    </row>
    <row r="631" customFormat="false" ht="15" hidden="false" customHeight="false" outlineLevel="0" collapsed="false">
      <c r="A631" s="148" t="n">
        <v>40315</v>
      </c>
      <c r="B631" s="37" t="n">
        <v>34.9881706237793</v>
      </c>
    </row>
    <row r="632" customFormat="false" ht="15" hidden="false" customHeight="false" outlineLevel="0" collapsed="false">
      <c r="A632" s="148" t="n">
        <v>40316</v>
      </c>
      <c r="B632" s="37" t="n">
        <v>34.9881706237793</v>
      </c>
    </row>
    <row r="633" customFormat="false" ht="15" hidden="false" customHeight="false" outlineLevel="0" collapsed="false">
      <c r="A633" s="148" t="n">
        <v>40317</v>
      </c>
      <c r="B633" s="37" t="n">
        <v>34.9881706237793</v>
      </c>
    </row>
    <row r="634" customFormat="false" ht="15" hidden="false" customHeight="false" outlineLevel="0" collapsed="false">
      <c r="A634" s="148" t="n">
        <v>40318</v>
      </c>
      <c r="B634" s="37" t="n">
        <v>34.9881706237793</v>
      </c>
    </row>
    <row r="635" customFormat="false" ht="15" hidden="false" customHeight="false" outlineLevel="0" collapsed="false">
      <c r="A635" s="148" t="n">
        <v>40319</v>
      </c>
      <c r="B635" s="37" t="n">
        <v>34.9881706237793</v>
      </c>
    </row>
    <row r="636" customFormat="false" ht="15" hidden="false" customHeight="false" outlineLevel="0" collapsed="false">
      <c r="A636" s="148" t="n">
        <v>40322</v>
      </c>
      <c r="B636" s="37" t="n">
        <v>34.9881706237793</v>
      </c>
    </row>
    <row r="637" customFormat="false" ht="15" hidden="false" customHeight="false" outlineLevel="0" collapsed="false">
      <c r="A637" s="148" t="n">
        <v>40323</v>
      </c>
      <c r="B637" s="37" t="n">
        <v>34.9881706237793</v>
      </c>
    </row>
    <row r="638" customFormat="false" ht="15" hidden="false" customHeight="false" outlineLevel="0" collapsed="false">
      <c r="A638" s="148" t="n">
        <v>40324</v>
      </c>
      <c r="B638" s="37" t="n">
        <v>49.9831008911133</v>
      </c>
    </row>
    <row r="639" customFormat="false" ht="15" hidden="false" customHeight="false" outlineLevel="0" collapsed="false">
      <c r="A639" s="148" t="n">
        <v>40325</v>
      </c>
      <c r="B639" s="37" t="n">
        <v>49.9831008911133</v>
      </c>
    </row>
    <row r="640" customFormat="false" ht="15" hidden="false" customHeight="false" outlineLevel="0" collapsed="false">
      <c r="A640" s="148" t="n">
        <v>40326</v>
      </c>
      <c r="B640" s="37" t="n">
        <v>49.9831008911133</v>
      </c>
    </row>
    <row r="641" customFormat="false" ht="15" hidden="false" customHeight="false" outlineLevel="0" collapsed="false">
      <c r="A641" s="148" t="n">
        <v>40329</v>
      </c>
      <c r="B641" s="37" t="n">
        <v>44.984790802002</v>
      </c>
    </row>
    <row r="642" customFormat="false" ht="15" hidden="false" customHeight="false" outlineLevel="0" collapsed="false">
      <c r="A642" s="148" t="n">
        <v>40330</v>
      </c>
      <c r="B642" s="37" t="n">
        <v>44.984790802002</v>
      </c>
    </row>
    <row r="643" customFormat="false" ht="15" hidden="false" customHeight="false" outlineLevel="0" collapsed="false">
      <c r="A643" s="148" t="n">
        <v>40331</v>
      </c>
      <c r="B643" s="37" t="n">
        <v>44.984790802002</v>
      </c>
    </row>
    <row r="644" customFormat="false" ht="15" hidden="false" customHeight="false" outlineLevel="0" collapsed="false">
      <c r="A644" s="148" t="n">
        <v>40332</v>
      </c>
      <c r="B644" s="37" t="n">
        <v>44.984790802002</v>
      </c>
    </row>
    <row r="645" customFormat="false" ht="15" hidden="false" customHeight="false" outlineLevel="0" collapsed="false">
      <c r="A645" s="148" t="n">
        <v>40333</v>
      </c>
      <c r="B645" s="37" t="n">
        <v>44.984790802002</v>
      </c>
    </row>
    <row r="646" customFormat="false" ht="15" hidden="false" customHeight="false" outlineLevel="0" collapsed="false">
      <c r="A646" s="148" t="n">
        <v>40336</v>
      </c>
      <c r="B646" s="37" t="n">
        <v>44.984790802002</v>
      </c>
    </row>
    <row r="647" customFormat="false" ht="15" hidden="false" customHeight="false" outlineLevel="0" collapsed="false">
      <c r="A647" s="148" t="n">
        <v>40337</v>
      </c>
      <c r="B647" s="37" t="n">
        <v>44.984790802002</v>
      </c>
    </row>
    <row r="648" customFormat="false" ht="15" hidden="false" customHeight="false" outlineLevel="0" collapsed="false">
      <c r="A648" s="148" t="n">
        <v>40338</v>
      </c>
      <c r="B648" s="37" t="n">
        <v>44.984790802002</v>
      </c>
    </row>
    <row r="649" customFormat="false" ht="15" hidden="false" customHeight="false" outlineLevel="0" collapsed="false">
      <c r="A649" s="148" t="n">
        <v>40339</v>
      </c>
      <c r="B649" s="37" t="n">
        <v>44.984790802002</v>
      </c>
    </row>
    <row r="650" customFormat="false" ht="15" hidden="false" customHeight="false" outlineLevel="0" collapsed="false">
      <c r="A650" s="148" t="n">
        <v>40340</v>
      </c>
      <c r="B650" s="37" t="n">
        <v>44.984790802002</v>
      </c>
    </row>
    <row r="651" customFormat="false" ht="15" hidden="false" customHeight="false" outlineLevel="0" collapsed="false">
      <c r="A651" s="148" t="n">
        <v>40343</v>
      </c>
      <c r="B651" s="37" t="n">
        <v>44.984790802002</v>
      </c>
    </row>
    <row r="652" customFormat="false" ht="15" hidden="false" customHeight="false" outlineLevel="0" collapsed="false">
      <c r="A652" s="148" t="n">
        <v>40344</v>
      </c>
      <c r="B652" s="37" t="n">
        <v>44.984790802002</v>
      </c>
    </row>
    <row r="653" customFormat="false" ht="15" hidden="false" customHeight="false" outlineLevel="0" collapsed="false">
      <c r="A653" s="148" t="n">
        <v>40345</v>
      </c>
      <c r="B653" s="37" t="n">
        <v>44.984790802002</v>
      </c>
    </row>
    <row r="654" customFormat="false" ht="15" hidden="false" customHeight="false" outlineLevel="0" collapsed="false">
      <c r="A654" s="148" t="n">
        <v>40346</v>
      </c>
      <c r="B654" s="37" t="n">
        <v>43.9851303100586</v>
      </c>
    </row>
    <row r="655" customFormat="false" ht="15" hidden="false" customHeight="false" outlineLevel="0" collapsed="false">
      <c r="A655" s="148" t="n">
        <v>40347</v>
      </c>
      <c r="B655" s="37" t="n">
        <v>42.9854698181152</v>
      </c>
    </row>
    <row r="656" customFormat="false" ht="15" hidden="false" customHeight="false" outlineLevel="0" collapsed="false">
      <c r="A656" s="148" t="n">
        <v>40350</v>
      </c>
      <c r="B656" s="37" t="n">
        <v>42.9854698181152</v>
      </c>
    </row>
    <row r="657" customFormat="false" ht="15" hidden="false" customHeight="false" outlineLevel="0" collapsed="false">
      <c r="A657" s="148" t="n">
        <v>40351</v>
      </c>
      <c r="B657" s="37" t="n">
        <v>42.9854698181152</v>
      </c>
    </row>
    <row r="658" customFormat="false" ht="15" hidden="false" customHeight="false" outlineLevel="0" collapsed="false">
      <c r="A658" s="148" t="n">
        <v>40352</v>
      </c>
      <c r="B658" s="37" t="n">
        <v>34.9881706237793</v>
      </c>
    </row>
    <row r="659" customFormat="false" ht="15" hidden="false" customHeight="false" outlineLevel="0" collapsed="false">
      <c r="A659" s="148" t="n">
        <v>40353</v>
      </c>
      <c r="B659" s="37" t="n">
        <v>34.9881706237793</v>
      </c>
    </row>
    <row r="660" customFormat="false" ht="15" hidden="false" customHeight="false" outlineLevel="0" collapsed="false">
      <c r="A660" s="148" t="n">
        <v>40354</v>
      </c>
      <c r="B660" s="37" t="n">
        <v>37.9871597290039</v>
      </c>
    </row>
    <row r="661" customFormat="false" ht="15" hidden="false" customHeight="false" outlineLevel="0" collapsed="false">
      <c r="A661" s="148" t="n">
        <v>40357</v>
      </c>
      <c r="B661" s="37" t="n">
        <v>37.9871597290039</v>
      </c>
    </row>
    <row r="662" customFormat="false" ht="15" hidden="false" customHeight="false" outlineLevel="0" collapsed="false">
      <c r="A662" s="148" t="n">
        <v>40358</v>
      </c>
      <c r="B662" s="37" t="n">
        <v>37.9871597290039</v>
      </c>
    </row>
    <row r="663" customFormat="false" ht="15" hidden="false" customHeight="false" outlineLevel="0" collapsed="false">
      <c r="A663" s="148" t="n">
        <v>40359</v>
      </c>
      <c r="B663" s="37" t="n">
        <v>37.9871597290039</v>
      </c>
    </row>
    <row r="664" customFormat="false" ht="15" hidden="false" customHeight="false" outlineLevel="0" collapsed="false">
      <c r="A664" s="148" t="n">
        <v>40360</v>
      </c>
      <c r="B664" s="37" t="n">
        <v>37.9871597290039</v>
      </c>
    </row>
    <row r="665" customFormat="false" ht="15" hidden="false" customHeight="false" outlineLevel="0" collapsed="false">
      <c r="A665" s="148" t="n">
        <v>40361</v>
      </c>
      <c r="B665" s="37" t="n">
        <v>44.984790802002</v>
      </c>
    </row>
    <row r="666" customFormat="false" ht="15" hidden="false" customHeight="false" outlineLevel="0" collapsed="false">
      <c r="A666" s="148" t="n">
        <v>40364</v>
      </c>
      <c r="B666" s="37" t="n">
        <v>39.9864807128906</v>
      </c>
    </row>
    <row r="667" customFormat="false" ht="15" hidden="false" customHeight="false" outlineLevel="0" collapsed="false">
      <c r="A667" s="148" t="n">
        <v>40365</v>
      </c>
      <c r="B667" s="37" t="n">
        <v>39.9864807128906</v>
      </c>
    </row>
    <row r="668" customFormat="false" ht="15" hidden="false" customHeight="false" outlineLevel="0" collapsed="false">
      <c r="A668" s="148" t="n">
        <v>40366</v>
      </c>
      <c r="B668" s="37" t="n">
        <v>38.9868202209473</v>
      </c>
    </row>
    <row r="669" customFormat="false" ht="15" hidden="false" customHeight="false" outlineLevel="0" collapsed="false">
      <c r="A669" s="148" t="n">
        <v>40367</v>
      </c>
      <c r="B669" s="37" t="n">
        <v>38.9868202209473</v>
      </c>
    </row>
    <row r="670" customFormat="false" ht="15" hidden="false" customHeight="false" outlineLevel="0" collapsed="false">
      <c r="A670" s="148" t="n">
        <v>40368</v>
      </c>
      <c r="B670" s="37" t="n">
        <v>42.9854698181152</v>
      </c>
    </row>
    <row r="671" customFormat="false" ht="15" hidden="false" customHeight="false" outlineLevel="0" collapsed="false">
      <c r="A671" s="148" t="n">
        <v>40371</v>
      </c>
      <c r="B671" s="37" t="n">
        <v>42.9854698181152</v>
      </c>
    </row>
    <row r="672" customFormat="false" ht="15" hidden="false" customHeight="false" outlineLevel="0" collapsed="false">
      <c r="A672" s="148" t="n">
        <v>40372</v>
      </c>
      <c r="B672" s="37" t="n">
        <v>37.9871597290039</v>
      </c>
    </row>
    <row r="673" customFormat="false" ht="15" hidden="false" customHeight="false" outlineLevel="0" collapsed="false">
      <c r="A673" s="148" t="n">
        <v>40373</v>
      </c>
      <c r="B673" s="37" t="n">
        <v>40.9861450195313</v>
      </c>
    </row>
    <row r="674" customFormat="false" ht="15" hidden="false" customHeight="false" outlineLevel="0" collapsed="false">
      <c r="A674" s="148" t="n">
        <v>40374</v>
      </c>
      <c r="B674" s="37" t="n">
        <v>37.9871597290039</v>
      </c>
    </row>
    <row r="675" customFormat="false" ht="15" hidden="false" customHeight="false" outlineLevel="0" collapsed="false">
      <c r="A675" s="148" t="n">
        <v>40375</v>
      </c>
      <c r="B675" s="37" t="n">
        <v>37.9871597290039</v>
      </c>
    </row>
    <row r="676" customFormat="false" ht="15" hidden="false" customHeight="false" outlineLevel="0" collapsed="false">
      <c r="A676" s="148" t="n">
        <v>40378</v>
      </c>
      <c r="B676" s="37" t="n">
        <v>37.9871597290039</v>
      </c>
    </row>
    <row r="677" customFormat="false" ht="15" hidden="false" customHeight="false" outlineLevel="0" collapsed="false">
      <c r="A677" s="148" t="n">
        <v>40379</v>
      </c>
      <c r="B677" s="37" t="n">
        <v>37.9871597290039</v>
      </c>
    </row>
    <row r="678" customFormat="false" ht="15" hidden="false" customHeight="false" outlineLevel="0" collapsed="false">
      <c r="A678" s="148" t="n">
        <v>40380</v>
      </c>
      <c r="B678" s="37" t="n">
        <v>37.9871597290039</v>
      </c>
    </row>
    <row r="679" customFormat="false" ht="15" hidden="false" customHeight="false" outlineLevel="0" collapsed="false">
      <c r="A679" s="148" t="n">
        <v>40381</v>
      </c>
      <c r="B679" s="37" t="n">
        <v>37.9871597290039</v>
      </c>
    </row>
    <row r="680" customFormat="false" ht="15" hidden="false" customHeight="false" outlineLevel="0" collapsed="false">
      <c r="A680" s="148" t="n">
        <v>40382</v>
      </c>
      <c r="B680" s="37" t="n">
        <v>37.9871597290039</v>
      </c>
    </row>
    <row r="681" customFormat="false" ht="15" hidden="false" customHeight="false" outlineLevel="0" collapsed="false">
      <c r="A681" s="148" t="n">
        <v>40385</v>
      </c>
      <c r="B681" s="37" t="n">
        <v>37.9871597290039</v>
      </c>
    </row>
    <row r="682" customFormat="false" ht="15" hidden="false" customHeight="false" outlineLevel="0" collapsed="false">
      <c r="A682" s="148" t="n">
        <v>40386</v>
      </c>
      <c r="B682" s="37" t="n">
        <v>37.9871597290039</v>
      </c>
    </row>
    <row r="683" customFormat="false" ht="15" hidden="false" customHeight="false" outlineLevel="0" collapsed="false">
      <c r="A683" s="148" t="n">
        <v>40387</v>
      </c>
      <c r="B683" s="37" t="n">
        <v>37.9871597290039</v>
      </c>
    </row>
    <row r="684" customFormat="false" ht="15" hidden="false" customHeight="false" outlineLevel="0" collapsed="false">
      <c r="A684" s="148" t="n">
        <v>40388</v>
      </c>
      <c r="B684" s="37" t="n">
        <v>37.9871597290039</v>
      </c>
    </row>
    <row r="685" customFormat="false" ht="15" hidden="false" customHeight="false" outlineLevel="0" collapsed="false">
      <c r="A685" s="148" t="n">
        <v>40389</v>
      </c>
      <c r="B685" s="37" t="n">
        <v>37.9871597290039</v>
      </c>
    </row>
    <row r="686" customFormat="false" ht="15" hidden="false" customHeight="false" outlineLevel="0" collapsed="false">
      <c r="A686" s="148" t="n">
        <v>40392</v>
      </c>
      <c r="B686" s="37" t="n">
        <v>40.9861450195313</v>
      </c>
    </row>
    <row r="687" customFormat="false" ht="15" hidden="false" customHeight="false" outlineLevel="0" collapsed="false">
      <c r="A687" s="148" t="n">
        <v>40393</v>
      </c>
      <c r="B687" s="37" t="n">
        <v>42.9854698181152</v>
      </c>
    </row>
    <row r="688" customFormat="false" ht="15" hidden="false" customHeight="false" outlineLevel="0" collapsed="false">
      <c r="A688" s="148" t="n">
        <v>40394</v>
      </c>
      <c r="B688" s="37" t="n">
        <v>42.9854698181152</v>
      </c>
    </row>
    <row r="689" customFormat="false" ht="15" hidden="false" customHeight="false" outlineLevel="0" collapsed="false">
      <c r="A689" s="148" t="n">
        <v>40395</v>
      </c>
      <c r="B689" s="37" t="n">
        <v>41.9858093261719</v>
      </c>
    </row>
    <row r="690" customFormat="false" ht="15" hidden="false" customHeight="false" outlineLevel="0" collapsed="false">
      <c r="A690" s="148" t="n">
        <v>40396</v>
      </c>
      <c r="B690" s="37" t="n">
        <v>42.9854698181152</v>
      </c>
    </row>
    <row r="691" customFormat="false" ht="15" hidden="false" customHeight="false" outlineLevel="0" collapsed="false">
      <c r="A691" s="148" t="n">
        <v>40399</v>
      </c>
      <c r="B691" s="37" t="n">
        <v>42.9854698181152</v>
      </c>
    </row>
    <row r="692" customFormat="false" ht="15" hidden="false" customHeight="false" outlineLevel="0" collapsed="false">
      <c r="A692" s="148" t="n">
        <v>40400</v>
      </c>
      <c r="B692" s="37" t="n">
        <v>43.9851303100586</v>
      </c>
    </row>
    <row r="693" customFormat="false" ht="15" hidden="false" customHeight="false" outlineLevel="0" collapsed="false">
      <c r="A693" s="148" t="n">
        <v>40401</v>
      </c>
      <c r="B693" s="37" t="n">
        <v>41.9858093261719</v>
      </c>
    </row>
    <row r="694" customFormat="false" ht="15" hidden="false" customHeight="false" outlineLevel="0" collapsed="false">
      <c r="A694" s="148" t="n">
        <v>40402</v>
      </c>
      <c r="B694" s="37" t="n">
        <v>41.9858093261719</v>
      </c>
    </row>
    <row r="695" customFormat="false" ht="15" hidden="false" customHeight="false" outlineLevel="0" collapsed="false">
      <c r="A695" s="148" t="n">
        <v>40403</v>
      </c>
      <c r="B695" s="37" t="n">
        <v>41.9858093261719</v>
      </c>
    </row>
    <row r="696" customFormat="false" ht="15" hidden="false" customHeight="false" outlineLevel="0" collapsed="false">
      <c r="A696" s="148" t="n">
        <v>40406</v>
      </c>
      <c r="B696" s="37" t="n">
        <v>41.9858093261719</v>
      </c>
    </row>
    <row r="697" customFormat="false" ht="15" hidden="false" customHeight="false" outlineLevel="0" collapsed="false">
      <c r="A697" s="148" t="n">
        <v>40407</v>
      </c>
      <c r="B697" s="37" t="n">
        <v>41.9858093261719</v>
      </c>
    </row>
    <row r="698" customFormat="false" ht="15" hidden="false" customHeight="false" outlineLevel="0" collapsed="false">
      <c r="A698" s="148" t="n">
        <v>40408</v>
      </c>
      <c r="B698" s="37" t="n">
        <v>40.9861450195313</v>
      </c>
    </row>
    <row r="699" customFormat="false" ht="15" hidden="false" customHeight="false" outlineLevel="0" collapsed="false">
      <c r="A699" s="148" t="n">
        <v>40409</v>
      </c>
      <c r="B699" s="37" t="n">
        <v>43.9851303100586</v>
      </c>
    </row>
    <row r="700" customFormat="false" ht="15" hidden="false" customHeight="false" outlineLevel="0" collapsed="false">
      <c r="A700" s="148" t="n">
        <v>40410</v>
      </c>
      <c r="B700" s="37" t="n">
        <v>43.9851303100586</v>
      </c>
    </row>
    <row r="701" customFormat="false" ht="15" hidden="false" customHeight="false" outlineLevel="0" collapsed="false">
      <c r="A701" s="148" t="n">
        <v>40413</v>
      </c>
      <c r="B701" s="37" t="n">
        <v>43.9851303100586</v>
      </c>
    </row>
    <row r="702" customFormat="false" ht="15" hidden="false" customHeight="false" outlineLevel="0" collapsed="false">
      <c r="A702" s="148" t="n">
        <v>40414</v>
      </c>
      <c r="B702" s="37" t="n">
        <v>41.9858093261719</v>
      </c>
    </row>
    <row r="703" customFormat="false" ht="15" hidden="false" customHeight="false" outlineLevel="0" collapsed="false">
      <c r="A703" s="148" t="n">
        <v>40415</v>
      </c>
      <c r="B703" s="37" t="n">
        <v>41.9858093261719</v>
      </c>
    </row>
    <row r="704" customFormat="false" ht="15" hidden="false" customHeight="false" outlineLevel="0" collapsed="false">
      <c r="A704" s="148" t="n">
        <v>40416</v>
      </c>
      <c r="B704" s="37" t="n">
        <v>43.9851303100586</v>
      </c>
    </row>
    <row r="705" customFormat="false" ht="15" hidden="false" customHeight="false" outlineLevel="0" collapsed="false">
      <c r="A705" s="148" t="n">
        <v>40417</v>
      </c>
      <c r="B705" s="37" t="n">
        <v>43.9851303100586</v>
      </c>
    </row>
    <row r="706" customFormat="false" ht="15" hidden="false" customHeight="false" outlineLevel="0" collapsed="false">
      <c r="A706" s="148" t="n">
        <v>40420</v>
      </c>
      <c r="B706" s="37" t="n">
        <v>40.9861450195313</v>
      </c>
    </row>
    <row r="707" customFormat="false" ht="15" hidden="false" customHeight="false" outlineLevel="0" collapsed="false">
      <c r="A707" s="148" t="n">
        <v>40421</v>
      </c>
      <c r="B707" s="37" t="n">
        <v>40.9861450195313</v>
      </c>
    </row>
    <row r="708" customFormat="false" ht="15" hidden="false" customHeight="false" outlineLevel="0" collapsed="false">
      <c r="A708" s="148" t="n">
        <v>40422</v>
      </c>
      <c r="B708" s="37" t="n">
        <v>40.9861450195313</v>
      </c>
    </row>
    <row r="709" customFormat="false" ht="15" hidden="false" customHeight="false" outlineLevel="0" collapsed="false">
      <c r="A709" s="148" t="n">
        <v>40423</v>
      </c>
      <c r="B709" s="37" t="n">
        <v>39.9864807128906</v>
      </c>
    </row>
    <row r="710" customFormat="false" ht="15" hidden="false" customHeight="false" outlineLevel="0" collapsed="false">
      <c r="A710" s="148" t="n">
        <v>40424</v>
      </c>
      <c r="B710" s="37" t="n">
        <v>39.9864807128906</v>
      </c>
    </row>
    <row r="711" customFormat="false" ht="15" hidden="false" customHeight="false" outlineLevel="0" collapsed="false">
      <c r="A711" s="148" t="n">
        <v>40427</v>
      </c>
      <c r="B711" s="37" t="n">
        <v>39.9864807128906</v>
      </c>
    </row>
    <row r="712" customFormat="false" ht="15" hidden="false" customHeight="false" outlineLevel="0" collapsed="false">
      <c r="A712" s="148" t="n">
        <v>40428</v>
      </c>
      <c r="B712" s="37" t="n">
        <v>37.9871597290039</v>
      </c>
    </row>
    <row r="713" customFormat="false" ht="15" hidden="false" customHeight="false" outlineLevel="0" collapsed="false">
      <c r="A713" s="148" t="n">
        <v>40429</v>
      </c>
      <c r="B713" s="37" t="n">
        <v>38.9868202209473</v>
      </c>
    </row>
    <row r="714" customFormat="false" ht="15" hidden="false" customHeight="false" outlineLevel="0" collapsed="false">
      <c r="A714" s="148" t="n">
        <v>40430</v>
      </c>
      <c r="B714" s="37" t="n">
        <v>39.9864807128906</v>
      </c>
    </row>
    <row r="715" customFormat="false" ht="15" hidden="false" customHeight="false" outlineLevel="0" collapsed="false">
      <c r="A715" s="148" t="n">
        <v>40431</v>
      </c>
      <c r="B715" s="37" t="n">
        <v>39.9864807128906</v>
      </c>
    </row>
    <row r="716" customFormat="false" ht="15" hidden="false" customHeight="false" outlineLevel="0" collapsed="false">
      <c r="A716" s="148" t="n">
        <v>40434</v>
      </c>
      <c r="B716" s="37" t="n">
        <v>37.9871597290039</v>
      </c>
    </row>
    <row r="717" customFormat="false" ht="15" hidden="false" customHeight="false" outlineLevel="0" collapsed="false">
      <c r="A717" s="148" t="n">
        <v>40435</v>
      </c>
      <c r="B717" s="37" t="n">
        <v>37.9871597290039</v>
      </c>
    </row>
    <row r="718" customFormat="false" ht="15" hidden="false" customHeight="false" outlineLevel="0" collapsed="false">
      <c r="A718" s="148" t="n">
        <v>40436</v>
      </c>
      <c r="B718" s="37" t="n">
        <v>37.9871597290039</v>
      </c>
    </row>
    <row r="719" customFormat="false" ht="15" hidden="false" customHeight="false" outlineLevel="0" collapsed="false">
      <c r="A719" s="148" t="n">
        <v>40437</v>
      </c>
      <c r="B719" s="37" t="n">
        <v>37.9871597290039</v>
      </c>
    </row>
    <row r="720" customFormat="false" ht="15" hidden="false" customHeight="false" outlineLevel="0" collapsed="false">
      <c r="A720" s="148" t="n">
        <v>40438</v>
      </c>
      <c r="B720" s="37" t="n">
        <v>37.9871597290039</v>
      </c>
    </row>
    <row r="721" customFormat="false" ht="15" hidden="false" customHeight="false" outlineLevel="0" collapsed="false">
      <c r="A721" s="148" t="n">
        <v>40441</v>
      </c>
      <c r="B721" s="37" t="n">
        <v>37.9871597290039</v>
      </c>
    </row>
    <row r="722" customFormat="false" ht="15" hidden="false" customHeight="false" outlineLevel="0" collapsed="false">
      <c r="A722" s="148" t="n">
        <v>40442</v>
      </c>
      <c r="B722" s="37" t="n">
        <v>37.9871597290039</v>
      </c>
    </row>
    <row r="723" customFormat="false" ht="15" hidden="false" customHeight="false" outlineLevel="0" collapsed="false">
      <c r="A723" s="148" t="n">
        <v>40443</v>
      </c>
      <c r="B723" s="37" t="n">
        <v>37.9871597290039</v>
      </c>
    </row>
    <row r="724" customFormat="false" ht="15" hidden="false" customHeight="false" outlineLevel="0" collapsed="false">
      <c r="A724" s="148" t="n">
        <v>40444</v>
      </c>
      <c r="B724" s="37" t="n">
        <v>37.9871597290039</v>
      </c>
    </row>
    <row r="725" customFormat="false" ht="15" hidden="false" customHeight="false" outlineLevel="0" collapsed="false">
      <c r="A725" s="148" t="n">
        <v>40445</v>
      </c>
      <c r="B725" s="37" t="n">
        <v>37.9871597290039</v>
      </c>
    </row>
    <row r="726" customFormat="false" ht="15" hidden="false" customHeight="false" outlineLevel="0" collapsed="false">
      <c r="A726" s="148" t="n">
        <v>40448</v>
      </c>
      <c r="B726" s="37" t="n">
        <v>37.9871597290039</v>
      </c>
    </row>
    <row r="727" customFormat="false" ht="15" hidden="false" customHeight="false" outlineLevel="0" collapsed="false">
      <c r="A727" s="148" t="n">
        <v>40449</v>
      </c>
      <c r="B727" s="37" t="n">
        <v>37.9871597290039</v>
      </c>
    </row>
    <row r="728" customFormat="false" ht="15" hidden="false" customHeight="false" outlineLevel="0" collapsed="false">
      <c r="A728" s="148" t="n">
        <v>40450</v>
      </c>
      <c r="B728" s="37" t="n">
        <v>37.9871597290039</v>
      </c>
    </row>
    <row r="729" customFormat="false" ht="15" hidden="false" customHeight="false" outlineLevel="0" collapsed="false">
      <c r="A729" s="148" t="n">
        <v>40451</v>
      </c>
      <c r="B729" s="37" t="n">
        <v>37.9871597290039</v>
      </c>
    </row>
    <row r="730" customFormat="false" ht="15" hidden="false" customHeight="false" outlineLevel="0" collapsed="false">
      <c r="A730" s="148" t="n">
        <v>40452</v>
      </c>
      <c r="B730" s="37" t="n">
        <v>37.9871597290039</v>
      </c>
    </row>
    <row r="731" customFormat="false" ht="15" hidden="false" customHeight="false" outlineLevel="0" collapsed="false">
      <c r="A731" s="148" t="n">
        <v>40455</v>
      </c>
      <c r="B731" s="37" t="n">
        <v>37.9871597290039</v>
      </c>
    </row>
    <row r="732" customFormat="false" ht="15" hidden="false" customHeight="false" outlineLevel="0" collapsed="false">
      <c r="A732" s="148" t="n">
        <v>40456</v>
      </c>
      <c r="B732" s="37" t="n">
        <v>37.9871597290039</v>
      </c>
    </row>
    <row r="733" customFormat="false" ht="15" hidden="false" customHeight="false" outlineLevel="0" collapsed="false">
      <c r="A733" s="148" t="n">
        <v>40457</v>
      </c>
      <c r="B733" s="37" t="n">
        <v>37.9871597290039</v>
      </c>
    </row>
    <row r="734" customFormat="false" ht="15" hidden="false" customHeight="false" outlineLevel="0" collapsed="false">
      <c r="A734" s="148" t="n">
        <v>40458</v>
      </c>
      <c r="B734" s="37" t="n">
        <v>37.9871597290039</v>
      </c>
    </row>
    <row r="735" customFormat="false" ht="15" hidden="false" customHeight="false" outlineLevel="0" collapsed="false">
      <c r="A735" s="148" t="n">
        <v>40459</v>
      </c>
      <c r="B735" s="37" t="n">
        <v>37.9871597290039</v>
      </c>
    </row>
    <row r="736" customFormat="false" ht="15" hidden="false" customHeight="false" outlineLevel="0" collapsed="false">
      <c r="A736" s="148" t="n">
        <v>40462</v>
      </c>
      <c r="B736" s="37" t="n">
        <v>37.9871597290039</v>
      </c>
    </row>
    <row r="737" customFormat="false" ht="15" hidden="false" customHeight="false" outlineLevel="0" collapsed="false">
      <c r="A737" s="148" t="n">
        <v>40463</v>
      </c>
      <c r="B737" s="37" t="n">
        <v>37.9871597290039</v>
      </c>
    </row>
    <row r="738" customFormat="false" ht="15" hidden="false" customHeight="false" outlineLevel="0" collapsed="false">
      <c r="A738" s="148" t="n">
        <v>40464</v>
      </c>
      <c r="B738" s="37" t="n">
        <v>37.9871597290039</v>
      </c>
    </row>
    <row r="739" customFormat="false" ht="15" hidden="false" customHeight="false" outlineLevel="0" collapsed="false">
      <c r="A739" s="148" t="n">
        <v>40465</v>
      </c>
      <c r="B739" s="37" t="n">
        <v>37.9871597290039</v>
      </c>
    </row>
    <row r="740" customFormat="false" ht="15" hidden="false" customHeight="false" outlineLevel="0" collapsed="false">
      <c r="A740" s="148" t="n">
        <v>40466</v>
      </c>
      <c r="B740" s="37" t="n">
        <v>37.9871597290039</v>
      </c>
    </row>
    <row r="741" customFormat="false" ht="15" hidden="false" customHeight="false" outlineLevel="0" collapsed="false">
      <c r="A741" s="148" t="n">
        <v>40469</v>
      </c>
      <c r="B741" s="37" t="n">
        <v>37.9871597290039</v>
      </c>
    </row>
    <row r="742" customFormat="false" ht="15" hidden="false" customHeight="false" outlineLevel="0" collapsed="false">
      <c r="A742" s="148" t="n">
        <v>40470</v>
      </c>
      <c r="B742" s="37" t="n">
        <v>37.9871597290039</v>
      </c>
    </row>
    <row r="743" customFormat="false" ht="15" hidden="false" customHeight="false" outlineLevel="0" collapsed="false">
      <c r="A743" s="148" t="n">
        <v>40471</v>
      </c>
      <c r="B743" s="37" t="n">
        <v>37.9871597290039</v>
      </c>
    </row>
    <row r="744" customFormat="false" ht="15" hidden="false" customHeight="false" outlineLevel="0" collapsed="false">
      <c r="A744" s="148" t="n">
        <v>40472</v>
      </c>
      <c r="B744" s="37" t="n">
        <v>37.9871597290039</v>
      </c>
    </row>
    <row r="745" customFormat="false" ht="15" hidden="false" customHeight="false" outlineLevel="0" collapsed="false">
      <c r="A745" s="148" t="n">
        <v>40473</v>
      </c>
      <c r="B745" s="37" t="n">
        <v>37.9871597290039</v>
      </c>
    </row>
    <row r="746" customFormat="false" ht="15" hidden="false" customHeight="false" outlineLevel="0" collapsed="false">
      <c r="A746" s="148" t="n">
        <v>40476</v>
      </c>
      <c r="B746" s="37" t="n">
        <v>37.9871597290039</v>
      </c>
    </row>
    <row r="747" customFormat="false" ht="15" hidden="false" customHeight="false" outlineLevel="0" collapsed="false">
      <c r="A747" s="148" t="n">
        <v>40477</v>
      </c>
      <c r="B747" s="37" t="n">
        <v>37.9871597290039</v>
      </c>
    </row>
    <row r="748" customFormat="false" ht="15" hidden="false" customHeight="false" outlineLevel="0" collapsed="false">
      <c r="A748" s="148" t="n">
        <v>40478</v>
      </c>
      <c r="B748" s="37" t="n">
        <v>39.9864807128906</v>
      </c>
    </row>
    <row r="749" customFormat="false" ht="15" hidden="false" customHeight="false" outlineLevel="0" collapsed="false">
      <c r="A749" s="148" t="n">
        <v>40479</v>
      </c>
      <c r="B749" s="37" t="n">
        <v>37.9871597290039</v>
      </c>
    </row>
    <row r="750" customFormat="false" ht="15" hidden="false" customHeight="false" outlineLevel="0" collapsed="false">
      <c r="A750" s="148" t="n">
        <v>40480</v>
      </c>
      <c r="B750" s="37" t="n">
        <v>39.9864807128906</v>
      </c>
    </row>
    <row r="751" customFormat="false" ht="15" hidden="false" customHeight="false" outlineLevel="0" collapsed="false">
      <c r="A751" s="148" t="n">
        <v>40483</v>
      </c>
      <c r="B751" s="37" t="n">
        <v>39.9864807128906</v>
      </c>
    </row>
    <row r="752" customFormat="false" ht="15" hidden="false" customHeight="false" outlineLevel="0" collapsed="false">
      <c r="A752" s="148" t="n">
        <v>40484</v>
      </c>
      <c r="B752" s="37" t="n">
        <v>39.9864807128906</v>
      </c>
    </row>
    <row r="753" customFormat="false" ht="15" hidden="false" customHeight="false" outlineLevel="0" collapsed="false">
      <c r="A753" s="148" t="n">
        <v>40485</v>
      </c>
      <c r="B753" s="37" t="n">
        <v>39.9864807128906</v>
      </c>
    </row>
    <row r="754" customFormat="false" ht="15" hidden="false" customHeight="false" outlineLevel="0" collapsed="false">
      <c r="A754" s="148" t="n">
        <v>40486</v>
      </c>
      <c r="B754" s="37" t="n">
        <v>39.9864807128906</v>
      </c>
    </row>
    <row r="755" customFormat="false" ht="15" hidden="false" customHeight="false" outlineLevel="0" collapsed="false">
      <c r="A755" s="148" t="n">
        <v>40487</v>
      </c>
      <c r="B755" s="37" t="n">
        <v>37.9871597290039</v>
      </c>
    </row>
    <row r="756" customFormat="false" ht="15" hidden="false" customHeight="false" outlineLevel="0" collapsed="false">
      <c r="A756" s="148" t="n">
        <v>40490</v>
      </c>
      <c r="B756" s="37" t="n">
        <v>37.9871597290039</v>
      </c>
    </row>
    <row r="757" customFormat="false" ht="15" hidden="false" customHeight="false" outlineLevel="0" collapsed="false">
      <c r="A757" s="148" t="n">
        <v>40491</v>
      </c>
      <c r="B757" s="37" t="n">
        <v>37.9871597290039</v>
      </c>
    </row>
    <row r="758" customFormat="false" ht="15" hidden="false" customHeight="false" outlineLevel="0" collapsed="false">
      <c r="A758" s="148" t="n">
        <v>40492</v>
      </c>
      <c r="B758" s="37" t="n">
        <v>37.9871597290039</v>
      </c>
    </row>
    <row r="759" customFormat="false" ht="15" hidden="false" customHeight="false" outlineLevel="0" collapsed="false">
      <c r="A759" s="148" t="n">
        <v>40493</v>
      </c>
      <c r="B759" s="37" t="n">
        <v>37.9871597290039</v>
      </c>
    </row>
    <row r="760" customFormat="false" ht="15" hidden="false" customHeight="false" outlineLevel="0" collapsed="false">
      <c r="A760" s="148" t="n">
        <v>40494</v>
      </c>
      <c r="B760" s="37" t="n">
        <v>39.9864807128906</v>
      </c>
    </row>
    <row r="761" customFormat="false" ht="15" hidden="false" customHeight="false" outlineLevel="0" collapsed="false">
      <c r="A761" s="148" t="n">
        <v>40497</v>
      </c>
      <c r="B761" s="37" t="n">
        <v>39.9864807128906</v>
      </c>
    </row>
    <row r="762" customFormat="false" ht="15" hidden="false" customHeight="false" outlineLevel="0" collapsed="false">
      <c r="A762" s="148" t="n">
        <v>40498</v>
      </c>
      <c r="B762" s="37" t="n">
        <v>49.9831008911133</v>
      </c>
    </row>
    <row r="763" customFormat="false" ht="15" hidden="false" customHeight="false" outlineLevel="0" collapsed="false">
      <c r="A763" s="148" t="n">
        <v>40499</v>
      </c>
      <c r="B763" s="37" t="n">
        <v>41.9858093261719</v>
      </c>
    </row>
    <row r="764" customFormat="false" ht="15" hidden="false" customHeight="false" outlineLevel="0" collapsed="false">
      <c r="A764" s="148" t="n">
        <v>40500</v>
      </c>
      <c r="B764" s="37" t="n">
        <v>41.9858093261719</v>
      </c>
    </row>
    <row r="765" customFormat="false" ht="15" hidden="false" customHeight="false" outlineLevel="0" collapsed="false">
      <c r="A765" s="148" t="n">
        <v>40501</v>
      </c>
      <c r="B765" s="37" t="n">
        <v>41.9858093261719</v>
      </c>
    </row>
    <row r="766" customFormat="false" ht="15" hidden="false" customHeight="false" outlineLevel="0" collapsed="false">
      <c r="A766" s="148" t="n">
        <v>40504</v>
      </c>
      <c r="B766" s="37" t="n">
        <v>42.9854698181152</v>
      </c>
    </row>
    <row r="767" customFormat="false" ht="15" hidden="false" customHeight="false" outlineLevel="0" collapsed="false">
      <c r="A767" s="148" t="n">
        <v>40505</v>
      </c>
      <c r="B767" s="37" t="n">
        <v>42.9854698181152</v>
      </c>
    </row>
    <row r="768" customFormat="false" ht="15" hidden="false" customHeight="false" outlineLevel="0" collapsed="false">
      <c r="A768" s="148" t="n">
        <v>40506</v>
      </c>
      <c r="B768" s="37" t="n">
        <v>44.984790802002</v>
      </c>
    </row>
    <row r="769" customFormat="false" ht="15" hidden="false" customHeight="false" outlineLevel="0" collapsed="false">
      <c r="A769" s="148" t="n">
        <v>40507</v>
      </c>
      <c r="B769" s="37" t="n">
        <v>44.984790802002</v>
      </c>
    </row>
    <row r="770" customFormat="false" ht="15" hidden="false" customHeight="false" outlineLevel="0" collapsed="false">
      <c r="A770" s="148" t="n">
        <v>40508</v>
      </c>
      <c r="B770" s="37" t="n">
        <v>44.984790802002</v>
      </c>
    </row>
    <row r="771" customFormat="false" ht="15" hidden="false" customHeight="false" outlineLevel="0" collapsed="false">
      <c r="A771" s="148" t="n">
        <v>40511</v>
      </c>
      <c r="B771" s="37" t="n">
        <v>44.984790802002</v>
      </c>
    </row>
    <row r="772" customFormat="false" ht="15" hidden="false" customHeight="false" outlineLevel="0" collapsed="false">
      <c r="A772" s="148" t="n">
        <v>40512</v>
      </c>
      <c r="B772" s="37" t="n">
        <v>45.9844551086426</v>
      </c>
    </row>
    <row r="773" customFormat="false" ht="15" hidden="false" customHeight="false" outlineLevel="0" collapsed="false">
      <c r="A773" s="148" t="n">
        <v>40513</v>
      </c>
      <c r="B773" s="37" t="n">
        <v>44.984790802002</v>
      </c>
    </row>
    <row r="774" customFormat="false" ht="15" hidden="false" customHeight="false" outlineLevel="0" collapsed="false">
      <c r="A774" s="148" t="n">
        <v>40514</v>
      </c>
      <c r="B774" s="37" t="n">
        <v>44.984790802002</v>
      </c>
    </row>
    <row r="775" customFormat="false" ht="15" hidden="false" customHeight="false" outlineLevel="0" collapsed="false">
      <c r="A775" s="148" t="n">
        <v>40515</v>
      </c>
      <c r="B775" s="37" t="n">
        <v>44.984790802002</v>
      </c>
    </row>
    <row r="776" customFormat="false" ht="15" hidden="false" customHeight="false" outlineLevel="0" collapsed="false">
      <c r="A776" s="148" t="n">
        <v>40518</v>
      </c>
      <c r="B776" s="37" t="n">
        <v>47.9837799072266</v>
      </c>
    </row>
    <row r="777" customFormat="false" ht="15" hidden="false" customHeight="false" outlineLevel="0" collapsed="false">
      <c r="A777" s="148" t="n">
        <v>40519</v>
      </c>
      <c r="B777" s="37" t="n">
        <v>41.9858093261719</v>
      </c>
    </row>
    <row r="778" customFormat="false" ht="15" hidden="false" customHeight="false" outlineLevel="0" collapsed="false">
      <c r="A778" s="148" t="n">
        <v>40520</v>
      </c>
      <c r="B778" s="37" t="n">
        <v>41.9858093261719</v>
      </c>
    </row>
    <row r="779" customFormat="false" ht="15" hidden="false" customHeight="false" outlineLevel="0" collapsed="false">
      <c r="A779" s="148" t="n">
        <v>40521</v>
      </c>
      <c r="B779" s="37" t="n">
        <v>44.984790802002</v>
      </c>
    </row>
    <row r="780" customFormat="false" ht="15" hidden="false" customHeight="false" outlineLevel="0" collapsed="false">
      <c r="A780" s="148" t="n">
        <v>40522</v>
      </c>
      <c r="B780" s="37" t="n">
        <v>44.984790802002</v>
      </c>
    </row>
    <row r="781" customFormat="false" ht="15" hidden="false" customHeight="false" outlineLevel="0" collapsed="false">
      <c r="A781" s="148" t="n">
        <v>40525</v>
      </c>
      <c r="B781" s="37" t="n">
        <v>44.984790802002</v>
      </c>
    </row>
    <row r="782" customFormat="false" ht="15" hidden="false" customHeight="false" outlineLevel="0" collapsed="false">
      <c r="A782" s="148" t="n">
        <v>40526</v>
      </c>
      <c r="B782" s="37" t="n">
        <v>44.984790802002</v>
      </c>
    </row>
    <row r="783" customFormat="false" ht="15" hidden="false" customHeight="false" outlineLevel="0" collapsed="false">
      <c r="A783" s="148" t="n">
        <v>40527</v>
      </c>
      <c r="B783" s="37" t="n">
        <v>45.9844551086426</v>
      </c>
    </row>
    <row r="784" customFormat="false" ht="15" hidden="false" customHeight="false" outlineLevel="0" collapsed="false">
      <c r="A784" s="148" t="n">
        <v>40528</v>
      </c>
      <c r="B784" s="37" t="n">
        <v>45.9844551086426</v>
      </c>
    </row>
    <row r="785" customFormat="false" ht="15" hidden="false" customHeight="false" outlineLevel="0" collapsed="false">
      <c r="A785" s="148" t="n">
        <v>40529</v>
      </c>
      <c r="B785" s="37" t="n">
        <v>44.984790802002</v>
      </c>
    </row>
    <row r="786" customFormat="false" ht="15" hidden="false" customHeight="false" outlineLevel="0" collapsed="false">
      <c r="A786" s="148" t="n">
        <v>40532</v>
      </c>
      <c r="B786" s="37" t="n">
        <v>44.984790802002</v>
      </c>
    </row>
    <row r="787" customFormat="false" ht="15" hidden="false" customHeight="false" outlineLevel="0" collapsed="false">
      <c r="A787" s="148" t="n">
        <v>40533</v>
      </c>
      <c r="B787" s="37" t="n">
        <v>44.984790802002</v>
      </c>
    </row>
    <row r="788" customFormat="false" ht="15" hidden="false" customHeight="false" outlineLevel="0" collapsed="false">
      <c r="A788" s="148" t="n">
        <v>40534</v>
      </c>
      <c r="B788" s="37" t="n">
        <v>49.9831008911133</v>
      </c>
    </row>
    <row r="789" customFormat="false" ht="15" hidden="false" customHeight="false" outlineLevel="0" collapsed="false">
      <c r="A789" s="148" t="n">
        <v>40535</v>
      </c>
      <c r="B789" s="37" t="n">
        <v>49.9831008911133</v>
      </c>
    </row>
    <row r="790" customFormat="false" ht="15" hidden="false" customHeight="false" outlineLevel="0" collapsed="false">
      <c r="A790" s="148" t="n">
        <v>40536</v>
      </c>
      <c r="B790" s="37" t="n">
        <v>49.9831008911133</v>
      </c>
    </row>
    <row r="791" customFormat="false" ht="15" hidden="false" customHeight="false" outlineLevel="0" collapsed="false">
      <c r="A791" s="148" t="n">
        <v>40539</v>
      </c>
      <c r="B791" s="37" t="n">
        <v>49.9831008911133</v>
      </c>
    </row>
    <row r="792" customFormat="false" ht="15" hidden="false" customHeight="false" outlineLevel="0" collapsed="false">
      <c r="A792" s="148" t="n">
        <v>40540</v>
      </c>
      <c r="B792" s="37" t="n">
        <v>49.9831008911133</v>
      </c>
    </row>
    <row r="793" customFormat="false" ht="15" hidden="false" customHeight="false" outlineLevel="0" collapsed="false">
      <c r="A793" s="148" t="n">
        <v>40541</v>
      </c>
      <c r="B793" s="37" t="n">
        <v>49.9831008911133</v>
      </c>
    </row>
    <row r="794" customFormat="false" ht="15" hidden="false" customHeight="false" outlineLevel="0" collapsed="false">
      <c r="A794" s="148" t="n">
        <v>40542</v>
      </c>
      <c r="B794" s="37" t="n">
        <v>49.9831008911133</v>
      </c>
    </row>
    <row r="795" customFormat="false" ht="15" hidden="false" customHeight="false" outlineLevel="0" collapsed="false">
      <c r="A795" s="148" t="n">
        <v>40543</v>
      </c>
      <c r="B795" s="37" t="n">
        <v>49.9831008911133</v>
      </c>
    </row>
    <row r="796" customFormat="false" ht="15" hidden="false" customHeight="false" outlineLevel="0" collapsed="false">
      <c r="A796" s="148" t="n">
        <v>40546</v>
      </c>
      <c r="B796" s="37" t="n">
        <v>54.9814147949219</v>
      </c>
    </row>
    <row r="797" customFormat="false" ht="15" hidden="false" customHeight="false" outlineLevel="0" collapsed="false">
      <c r="A797" s="148" t="n">
        <v>40547</v>
      </c>
      <c r="B797" s="37" t="n">
        <v>54.9814147949219</v>
      </c>
    </row>
    <row r="798" customFormat="false" ht="15" hidden="false" customHeight="false" outlineLevel="0" collapsed="false">
      <c r="A798" s="148" t="n">
        <v>40548</v>
      </c>
      <c r="B798" s="37" t="n">
        <v>54.9814147949219</v>
      </c>
    </row>
    <row r="799" customFormat="false" ht="15" hidden="false" customHeight="false" outlineLevel="0" collapsed="false">
      <c r="A799" s="148" t="n">
        <v>40549</v>
      </c>
      <c r="B799" s="37" t="n">
        <v>54.9814147949219</v>
      </c>
    </row>
    <row r="800" customFormat="false" ht="15" hidden="false" customHeight="false" outlineLevel="0" collapsed="false">
      <c r="A800" s="148" t="n">
        <v>40550</v>
      </c>
      <c r="B800" s="37" t="n">
        <v>54.9814147949219</v>
      </c>
    </row>
    <row r="801" customFormat="false" ht="15" hidden="false" customHeight="false" outlineLevel="0" collapsed="false">
      <c r="A801" s="148" t="n">
        <v>40553</v>
      </c>
      <c r="B801" s="37" t="n">
        <v>54.9814147949219</v>
      </c>
    </row>
    <row r="802" customFormat="false" ht="15" hidden="false" customHeight="false" outlineLevel="0" collapsed="false">
      <c r="A802" s="148" t="n">
        <v>40554</v>
      </c>
      <c r="B802" s="37" t="n">
        <v>54.9814147949219</v>
      </c>
    </row>
    <row r="803" customFormat="false" ht="15" hidden="false" customHeight="false" outlineLevel="0" collapsed="false">
      <c r="A803" s="148" t="n">
        <v>40555</v>
      </c>
      <c r="B803" s="37" t="n">
        <v>54.9814147949219</v>
      </c>
    </row>
    <row r="804" customFormat="false" ht="15" hidden="false" customHeight="false" outlineLevel="0" collapsed="false">
      <c r="A804" s="148" t="n">
        <v>40556</v>
      </c>
      <c r="B804" s="37" t="n">
        <v>54.9814147949219</v>
      </c>
    </row>
    <row r="805" customFormat="false" ht="15" hidden="false" customHeight="false" outlineLevel="0" collapsed="false">
      <c r="A805" s="148" t="n">
        <v>40557</v>
      </c>
      <c r="B805" s="37" t="n">
        <v>46.9841194152832</v>
      </c>
    </row>
    <row r="806" customFormat="false" ht="15" hidden="false" customHeight="false" outlineLevel="0" collapsed="false">
      <c r="A806" s="148" t="n">
        <v>40560</v>
      </c>
      <c r="B806" s="37" t="n">
        <v>49.9831008911133</v>
      </c>
    </row>
    <row r="807" customFormat="false" ht="15" hidden="false" customHeight="false" outlineLevel="0" collapsed="false">
      <c r="A807" s="148" t="n">
        <v>40561</v>
      </c>
      <c r="B807" s="37" t="n">
        <v>49.9831008911133</v>
      </c>
    </row>
    <row r="808" customFormat="false" ht="15" hidden="false" customHeight="false" outlineLevel="0" collapsed="false">
      <c r="A808" s="148" t="n">
        <v>40562</v>
      </c>
      <c r="B808" s="37" t="n">
        <v>49.9831008911133</v>
      </c>
    </row>
    <row r="809" customFormat="false" ht="15" hidden="false" customHeight="false" outlineLevel="0" collapsed="false">
      <c r="A809" s="148" t="n">
        <v>40563</v>
      </c>
      <c r="B809" s="37" t="n">
        <v>51.9824295043945</v>
      </c>
    </row>
    <row r="810" customFormat="false" ht="15" hidden="false" customHeight="false" outlineLevel="0" collapsed="false">
      <c r="A810" s="148" t="n">
        <v>40564</v>
      </c>
      <c r="B810" s="37" t="n">
        <v>49.9831008911133</v>
      </c>
    </row>
    <row r="811" customFormat="false" ht="15" hidden="false" customHeight="false" outlineLevel="0" collapsed="false">
      <c r="A811" s="148" t="n">
        <v>40567</v>
      </c>
      <c r="B811" s="37" t="n">
        <v>49.9831008911133</v>
      </c>
    </row>
    <row r="812" customFormat="false" ht="15" hidden="false" customHeight="false" outlineLevel="0" collapsed="false">
      <c r="A812" s="148" t="n">
        <v>40568</v>
      </c>
      <c r="B812" s="37" t="n">
        <v>49.9831008911133</v>
      </c>
    </row>
    <row r="813" customFormat="false" ht="15" hidden="false" customHeight="false" outlineLevel="0" collapsed="false">
      <c r="A813" s="148" t="n">
        <v>40569</v>
      </c>
      <c r="B813" s="37" t="n">
        <v>49.9831008911133</v>
      </c>
    </row>
    <row r="814" customFormat="false" ht="15" hidden="false" customHeight="false" outlineLevel="0" collapsed="false">
      <c r="A814" s="148" t="n">
        <v>40570</v>
      </c>
      <c r="B814" s="37" t="n">
        <v>49.9831008911133</v>
      </c>
    </row>
    <row r="815" customFormat="false" ht="15" hidden="false" customHeight="false" outlineLevel="0" collapsed="false">
      <c r="A815" s="148" t="n">
        <v>40571</v>
      </c>
      <c r="B815" s="37" t="n">
        <v>49.9831008911133</v>
      </c>
    </row>
    <row r="816" customFormat="false" ht="15" hidden="false" customHeight="false" outlineLevel="0" collapsed="false">
      <c r="A816" s="148" t="n">
        <v>40574</v>
      </c>
      <c r="B816" s="37" t="n">
        <v>49.9831008911133</v>
      </c>
    </row>
    <row r="817" customFormat="false" ht="15" hidden="false" customHeight="false" outlineLevel="0" collapsed="false">
      <c r="A817" s="148" t="n">
        <v>40575</v>
      </c>
      <c r="B817" s="37" t="n">
        <v>49.9831008911133</v>
      </c>
    </row>
    <row r="818" customFormat="false" ht="15" hidden="false" customHeight="false" outlineLevel="0" collapsed="false">
      <c r="A818" s="148" t="n">
        <v>40576</v>
      </c>
      <c r="B818" s="37" t="n">
        <v>49.9831008911133</v>
      </c>
    </row>
    <row r="819" customFormat="false" ht="15" hidden="false" customHeight="false" outlineLevel="0" collapsed="false">
      <c r="A819" s="148" t="n">
        <v>40577</v>
      </c>
      <c r="B819" s="37" t="n">
        <v>49.9831008911133</v>
      </c>
    </row>
    <row r="820" customFormat="false" ht="15" hidden="false" customHeight="false" outlineLevel="0" collapsed="false">
      <c r="A820" s="148" t="n">
        <v>40578</v>
      </c>
      <c r="B820" s="37" t="n">
        <v>49.9831008911133</v>
      </c>
    </row>
    <row r="821" customFormat="false" ht="15" hidden="false" customHeight="false" outlineLevel="0" collapsed="false">
      <c r="A821" s="148" t="n">
        <v>40581</v>
      </c>
      <c r="B821" s="37" t="n">
        <v>49.9831008911133</v>
      </c>
    </row>
    <row r="822" customFormat="false" ht="15" hidden="false" customHeight="false" outlineLevel="0" collapsed="false">
      <c r="A822" s="148" t="n">
        <v>40582</v>
      </c>
      <c r="B822" s="37" t="n">
        <v>49.9831008911133</v>
      </c>
    </row>
    <row r="823" customFormat="false" ht="15" hidden="false" customHeight="false" outlineLevel="0" collapsed="false">
      <c r="A823" s="148" t="n">
        <v>40583</v>
      </c>
      <c r="B823" s="37" t="n">
        <v>49.9831008911133</v>
      </c>
    </row>
    <row r="824" customFormat="false" ht="15" hidden="false" customHeight="false" outlineLevel="0" collapsed="false">
      <c r="A824" s="148" t="n">
        <v>40584</v>
      </c>
      <c r="B824" s="37" t="n">
        <v>49.9831008911133</v>
      </c>
    </row>
    <row r="825" customFormat="false" ht="15" hidden="false" customHeight="false" outlineLevel="0" collapsed="false">
      <c r="A825" s="148" t="n">
        <v>40585</v>
      </c>
      <c r="B825" s="37" t="n">
        <v>49.9831008911133</v>
      </c>
    </row>
    <row r="826" customFormat="false" ht="15" hidden="false" customHeight="false" outlineLevel="0" collapsed="false">
      <c r="A826" s="148" t="n">
        <v>40588</v>
      </c>
      <c r="B826" s="37" t="n">
        <v>54.9814147949219</v>
      </c>
    </row>
    <row r="827" customFormat="false" ht="15" hidden="false" customHeight="false" outlineLevel="0" collapsed="false">
      <c r="A827" s="148" t="n">
        <v>40589</v>
      </c>
      <c r="B827" s="37" t="n">
        <v>54.9814147949219</v>
      </c>
    </row>
    <row r="828" customFormat="false" ht="15" hidden="false" customHeight="false" outlineLevel="0" collapsed="false">
      <c r="A828" s="148" t="n">
        <v>40590</v>
      </c>
      <c r="B828" s="37" t="n">
        <v>54.9814147949219</v>
      </c>
    </row>
    <row r="829" customFormat="false" ht="15" hidden="false" customHeight="false" outlineLevel="0" collapsed="false">
      <c r="A829" s="148" t="n">
        <v>40591</v>
      </c>
      <c r="B829" s="37" t="n">
        <v>59.9797248840332</v>
      </c>
    </row>
    <row r="830" customFormat="false" ht="15" hidden="false" customHeight="false" outlineLevel="0" collapsed="false">
      <c r="A830" s="148" t="n">
        <v>40592</v>
      </c>
      <c r="B830" s="37" t="n">
        <v>59.9797248840332</v>
      </c>
    </row>
    <row r="831" customFormat="false" ht="15" hidden="false" customHeight="false" outlineLevel="0" collapsed="false">
      <c r="A831" s="148" t="n">
        <v>40595</v>
      </c>
      <c r="B831" s="37" t="n">
        <v>59.9797248840332</v>
      </c>
    </row>
    <row r="832" customFormat="false" ht="15" hidden="false" customHeight="false" outlineLevel="0" collapsed="false">
      <c r="A832" s="148" t="n">
        <v>40596</v>
      </c>
      <c r="B832" s="37" t="n">
        <v>59.9797248840332</v>
      </c>
    </row>
    <row r="833" customFormat="false" ht="15" hidden="false" customHeight="false" outlineLevel="0" collapsed="false">
      <c r="A833" s="148" t="n">
        <v>40597</v>
      </c>
      <c r="B833" s="37" t="n">
        <v>59.9797248840332</v>
      </c>
    </row>
    <row r="834" customFormat="false" ht="15" hidden="false" customHeight="false" outlineLevel="0" collapsed="false">
      <c r="A834" s="148" t="n">
        <v>40598</v>
      </c>
      <c r="B834" s="37" t="n">
        <v>59.9797248840332</v>
      </c>
    </row>
    <row r="835" customFormat="false" ht="15" hidden="false" customHeight="false" outlineLevel="0" collapsed="false">
      <c r="A835" s="148" t="n">
        <v>40599</v>
      </c>
      <c r="B835" s="37" t="n">
        <v>64.9780349731445</v>
      </c>
    </row>
    <row r="836" customFormat="false" ht="15" hidden="false" customHeight="false" outlineLevel="0" collapsed="false">
      <c r="A836" s="148" t="n">
        <v>40602</v>
      </c>
      <c r="B836" s="37" t="n">
        <v>64.9780349731445</v>
      </c>
    </row>
    <row r="837" customFormat="false" ht="15" hidden="false" customHeight="false" outlineLevel="0" collapsed="false">
      <c r="A837" s="148" t="n">
        <v>40603</v>
      </c>
      <c r="B837" s="37" t="n">
        <v>64.9780349731445</v>
      </c>
    </row>
    <row r="838" customFormat="false" ht="15" hidden="false" customHeight="false" outlineLevel="0" collapsed="false">
      <c r="A838" s="148" t="n">
        <v>40604</v>
      </c>
      <c r="B838" s="37" t="n">
        <v>64.9780349731445</v>
      </c>
    </row>
    <row r="839" customFormat="false" ht="15" hidden="false" customHeight="false" outlineLevel="0" collapsed="false">
      <c r="A839" s="148" t="n">
        <v>40605</v>
      </c>
      <c r="B839" s="37" t="n">
        <v>64.9780349731445</v>
      </c>
    </row>
    <row r="840" customFormat="false" ht="15" hidden="false" customHeight="false" outlineLevel="0" collapsed="false">
      <c r="A840" s="148" t="n">
        <v>40606</v>
      </c>
      <c r="B840" s="37" t="n">
        <v>67.9770202636719</v>
      </c>
    </row>
    <row r="841" customFormat="false" ht="15" hidden="false" customHeight="false" outlineLevel="0" collapsed="false">
      <c r="A841" s="148" t="n">
        <v>40609</v>
      </c>
      <c r="B841" s="37" t="n">
        <v>67.9770202636719</v>
      </c>
    </row>
    <row r="842" customFormat="false" ht="15" hidden="false" customHeight="false" outlineLevel="0" collapsed="false">
      <c r="A842" s="148" t="n">
        <v>40610</v>
      </c>
      <c r="B842" s="37" t="n">
        <v>67.9770202636719</v>
      </c>
    </row>
    <row r="843" customFormat="false" ht="15" hidden="false" customHeight="false" outlineLevel="0" collapsed="false">
      <c r="A843" s="148" t="n">
        <v>40611</v>
      </c>
      <c r="B843" s="37" t="n">
        <v>67.9770202636719</v>
      </c>
    </row>
    <row r="844" customFormat="false" ht="15" hidden="false" customHeight="false" outlineLevel="0" collapsed="false">
      <c r="A844" s="148" t="n">
        <v>40612</v>
      </c>
      <c r="B844" s="37" t="n">
        <v>67.9770202636719</v>
      </c>
    </row>
    <row r="845" customFormat="false" ht="15" hidden="false" customHeight="false" outlineLevel="0" collapsed="false">
      <c r="A845" s="148" t="n">
        <v>40613</v>
      </c>
      <c r="B845" s="37" t="n">
        <v>67.9770202636719</v>
      </c>
    </row>
    <row r="846" customFormat="false" ht="15" hidden="false" customHeight="false" outlineLevel="0" collapsed="false">
      <c r="A846" s="148" t="n">
        <v>40616</v>
      </c>
      <c r="B846" s="37" t="n">
        <v>67.9770202636719</v>
      </c>
    </row>
    <row r="847" customFormat="false" ht="15" hidden="false" customHeight="false" outlineLevel="0" collapsed="false">
      <c r="A847" s="148" t="n">
        <v>40617</v>
      </c>
      <c r="B847" s="37" t="n">
        <v>67.9770202636719</v>
      </c>
    </row>
    <row r="848" customFormat="false" ht="15" hidden="false" customHeight="false" outlineLevel="0" collapsed="false">
      <c r="A848" s="148" t="n">
        <v>40618</v>
      </c>
      <c r="B848" s="37" t="n">
        <v>67.9770202636719</v>
      </c>
    </row>
    <row r="849" customFormat="false" ht="15" hidden="false" customHeight="false" outlineLevel="0" collapsed="false">
      <c r="A849" s="148" t="n">
        <v>40619</v>
      </c>
      <c r="B849" s="37" t="n">
        <v>67.9770202636719</v>
      </c>
    </row>
    <row r="850" customFormat="false" ht="15" hidden="false" customHeight="false" outlineLevel="0" collapsed="false">
      <c r="A850" s="148" t="n">
        <v>40620</v>
      </c>
      <c r="B850" s="37" t="n">
        <v>64.9780349731445</v>
      </c>
    </row>
    <row r="851" customFormat="false" ht="15" hidden="false" customHeight="false" outlineLevel="0" collapsed="false">
      <c r="A851" s="148" t="n">
        <v>40623</v>
      </c>
      <c r="B851" s="37" t="n">
        <v>64.9780349731445</v>
      </c>
    </row>
    <row r="852" customFormat="false" ht="15" hidden="false" customHeight="false" outlineLevel="0" collapsed="false">
      <c r="A852" s="148" t="n">
        <v>40624</v>
      </c>
      <c r="B852" s="37" t="n">
        <v>64.9780349731445</v>
      </c>
    </row>
    <row r="853" customFormat="false" ht="15" hidden="false" customHeight="false" outlineLevel="0" collapsed="false">
      <c r="A853" s="148" t="n">
        <v>40625</v>
      </c>
      <c r="B853" s="37" t="n">
        <v>64.9780349731445</v>
      </c>
    </row>
    <row r="854" customFormat="false" ht="15" hidden="false" customHeight="false" outlineLevel="0" collapsed="false">
      <c r="A854" s="148" t="n">
        <v>40626</v>
      </c>
      <c r="B854" s="37" t="n">
        <v>64.9780349731445</v>
      </c>
    </row>
    <row r="855" customFormat="false" ht="15" hidden="false" customHeight="false" outlineLevel="0" collapsed="false">
      <c r="A855" s="148" t="n">
        <v>40627</v>
      </c>
      <c r="B855" s="37" t="n">
        <v>64.9780349731445</v>
      </c>
    </row>
    <row r="856" customFormat="false" ht="15" hidden="false" customHeight="false" outlineLevel="0" collapsed="false">
      <c r="A856" s="148" t="n">
        <v>40630</v>
      </c>
      <c r="B856" s="37" t="n">
        <v>64.9780349731445</v>
      </c>
    </row>
    <row r="857" customFormat="false" ht="15" hidden="false" customHeight="false" outlineLevel="0" collapsed="false">
      <c r="A857" s="148" t="n">
        <v>40631</v>
      </c>
      <c r="B857" s="37" t="n">
        <v>65.9776992797852</v>
      </c>
    </row>
    <row r="858" customFormat="false" ht="15" hidden="false" customHeight="false" outlineLevel="0" collapsed="false">
      <c r="A858" s="148" t="n">
        <v>40632</v>
      </c>
      <c r="B858" s="37" t="n">
        <v>65.9776992797852</v>
      </c>
    </row>
    <row r="859" customFormat="false" ht="15" hidden="false" customHeight="false" outlineLevel="0" collapsed="false">
      <c r="A859" s="148" t="n">
        <v>40633</v>
      </c>
      <c r="B859" s="37" t="n">
        <v>69.9763412475586</v>
      </c>
    </row>
    <row r="860" customFormat="false" ht="15" hidden="false" customHeight="false" outlineLevel="0" collapsed="false">
      <c r="A860" s="148" t="n">
        <v>40634</v>
      </c>
      <c r="B860" s="37" t="n">
        <v>69.9763412475586</v>
      </c>
    </row>
    <row r="861" customFormat="false" ht="15" hidden="false" customHeight="false" outlineLevel="0" collapsed="false">
      <c r="A861" s="148" t="n">
        <v>40637</v>
      </c>
      <c r="B861" s="37" t="n">
        <v>70.9760055541992</v>
      </c>
    </row>
    <row r="862" customFormat="false" ht="15" hidden="false" customHeight="false" outlineLevel="0" collapsed="false">
      <c r="A862" s="148" t="n">
        <v>40638</v>
      </c>
      <c r="B862" s="37" t="n">
        <v>70.9760055541992</v>
      </c>
    </row>
    <row r="863" customFormat="false" ht="15" hidden="false" customHeight="false" outlineLevel="0" collapsed="false">
      <c r="A863" s="148" t="n">
        <v>40639</v>
      </c>
      <c r="B863" s="37" t="n">
        <v>70.9760055541992</v>
      </c>
    </row>
    <row r="864" customFormat="false" ht="15" hidden="false" customHeight="false" outlineLevel="0" collapsed="false">
      <c r="A864" s="148" t="n">
        <v>40640</v>
      </c>
      <c r="B864" s="37" t="n">
        <v>70.9760055541992</v>
      </c>
    </row>
    <row r="865" customFormat="false" ht="15" hidden="false" customHeight="false" outlineLevel="0" collapsed="false">
      <c r="A865" s="148" t="n">
        <v>40641</v>
      </c>
      <c r="B865" s="37" t="n">
        <v>70.9760055541992</v>
      </c>
    </row>
    <row r="866" customFormat="false" ht="15" hidden="false" customHeight="false" outlineLevel="0" collapsed="false">
      <c r="A866" s="148" t="n">
        <v>40644</v>
      </c>
      <c r="B866" s="37" t="n">
        <v>70.9760055541992</v>
      </c>
    </row>
    <row r="867" customFormat="false" ht="15" hidden="false" customHeight="false" outlineLevel="0" collapsed="false">
      <c r="A867" s="148" t="n">
        <v>40645</v>
      </c>
      <c r="B867" s="37" t="n">
        <v>70.9760055541992</v>
      </c>
    </row>
    <row r="868" customFormat="false" ht="15" hidden="false" customHeight="false" outlineLevel="0" collapsed="false">
      <c r="A868" s="148" t="n">
        <v>40646</v>
      </c>
      <c r="B868" s="37" t="n">
        <v>64.9780349731445</v>
      </c>
    </row>
    <row r="869" customFormat="false" ht="15" hidden="false" customHeight="false" outlineLevel="0" collapsed="false">
      <c r="A869" s="148" t="n">
        <v>40647</v>
      </c>
      <c r="B869" s="37" t="n">
        <v>64.9780349731445</v>
      </c>
    </row>
    <row r="870" customFormat="false" ht="15" hidden="false" customHeight="false" outlineLevel="0" collapsed="false">
      <c r="A870" s="148" t="n">
        <v>40648</v>
      </c>
      <c r="B870" s="37" t="n">
        <v>64.9780349731445</v>
      </c>
    </row>
    <row r="871" customFormat="false" ht="15" hidden="false" customHeight="false" outlineLevel="0" collapsed="false">
      <c r="A871" s="148" t="n">
        <v>40651</v>
      </c>
      <c r="B871" s="37" t="n">
        <v>67.9770202636719</v>
      </c>
    </row>
    <row r="872" customFormat="false" ht="15" hidden="false" customHeight="false" outlineLevel="0" collapsed="false">
      <c r="A872" s="148" t="n">
        <v>40652</v>
      </c>
      <c r="B872" s="37" t="n">
        <v>69.9763412475586</v>
      </c>
    </row>
    <row r="873" customFormat="false" ht="15" hidden="false" customHeight="false" outlineLevel="0" collapsed="false">
      <c r="A873" s="148" t="n">
        <v>40653</v>
      </c>
      <c r="B873" s="37" t="n">
        <v>74.9746551513672</v>
      </c>
    </row>
    <row r="874" customFormat="false" ht="15" hidden="false" customHeight="false" outlineLevel="0" collapsed="false">
      <c r="A874" s="148" t="n">
        <v>40654</v>
      </c>
      <c r="B874" s="37" t="n">
        <v>74.9746551513672</v>
      </c>
    </row>
    <row r="875" customFormat="false" ht="15" hidden="false" customHeight="false" outlineLevel="0" collapsed="false">
      <c r="A875" s="148" t="n">
        <v>40655</v>
      </c>
      <c r="B875" s="37" t="n">
        <v>74.9746551513672</v>
      </c>
    </row>
    <row r="876" customFormat="false" ht="15" hidden="false" customHeight="false" outlineLevel="0" collapsed="false">
      <c r="A876" s="148" t="n">
        <v>40658</v>
      </c>
      <c r="B876" s="37" t="n">
        <v>74.9746551513672</v>
      </c>
    </row>
    <row r="877" customFormat="false" ht="15" hidden="false" customHeight="false" outlineLevel="0" collapsed="false">
      <c r="A877" s="148" t="n">
        <v>40659</v>
      </c>
      <c r="B877" s="37" t="n">
        <v>74.9746551513672</v>
      </c>
    </row>
    <row r="878" customFormat="false" ht="15" hidden="false" customHeight="false" outlineLevel="0" collapsed="false">
      <c r="A878" s="148" t="n">
        <v>40660</v>
      </c>
      <c r="B878" s="37" t="n">
        <v>74.9746551513672</v>
      </c>
    </row>
    <row r="879" customFormat="false" ht="15" hidden="false" customHeight="false" outlineLevel="0" collapsed="false">
      <c r="A879" s="148" t="n">
        <v>40661</v>
      </c>
      <c r="B879" s="37" t="n">
        <v>74.9746551513672</v>
      </c>
    </row>
    <row r="880" customFormat="false" ht="15" hidden="false" customHeight="false" outlineLevel="0" collapsed="false">
      <c r="A880" s="148" t="n">
        <v>40662</v>
      </c>
      <c r="B880" s="37" t="n">
        <v>74.9746551513672</v>
      </c>
    </row>
    <row r="881" customFormat="false" ht="15" hidden="false" customHeight="false" outlineLevel="0" collapsed="false">
      <c r="A881" s="148" t="n">
        <v>40665</v>
      </c>
      <c r="B881" s="37" t="n">
        <v>74.9746551513672</v>
      </c>
    </row>
    <row r="882" customFormat="false" ht="15" hidden="false" customHeight="false" outlineLevel="0" collapsed="false">
      <c r="A882" s="148" t="n">
        <v>40666</v>
      </c>
      <c r="B882" s="37" t="n">
        <v>74.9746551513672</v>
      </c>
    </row>
    <row r="883" customFormat="false" ht="15" hidden="false" customHeight="false" outlineLevel="0" collapsed="false">
      <c r="A883" s="148" t="n">
        <v>40667</v>
      </c>
      <c r="B883" s="37" t="n">
        <v>74.9746551513672</v>
      </c>
    </row>
    <row r="884" customFormat="false" ht="15" hidden="false" customHeight="false" outlineLevel="0" collapsed="false">
      <c r="A884" s="148" t="n">
        <v>40668</v>
      </c>
      <c r="B884" s="37" t="n">
        <v>74.9746551513672</v>
      </c>
    </row>
    <row r="885" customFormat="false" ht="15" hidden="false" customHeight="false" outlineLevel="0" collapsed="false">
      <c r="A885" s="148" t="n">
        <v>40669</v>
      </c>
      <c r="B885" s="37" t="n">
        <v>74.9746551513672</v>
      </c>
    </row>
    <row r="886" customFormat="false" ht="15" hidden="false" customHeight="false" outlineLevel="0" collapsed="false">
      <c r="A886" s="148" t="n">
        <v>40672</v>
      </c>
      <c r="B886" s="37" t="n">
        <v>74.9746551513672</v>
      </c>
    </row>
    <row r="887" customFormat="false" ht="15" hidden="false" customHeight="false" outlineLevel="0" collapsed="false">
      <c r="A887" s="148" t="n">
        <v>40673</v>
      </c>
      <c r="B887" s="37" t="n">
        <v>74.9746551513672</v>
      </c>
    </row>
    <row r="888" customFormat="false" ht="15" hidden="false" customHeight="false" outlineLevel="0" collapsed="false">
      <c r="A888" s="148" t="n">
        <v>40674</v>
      </c>
      <c r="B888" s="37" t="n">
        <v>74.9746551513672</v>
      </c>
    </row>
    <row r="889" customFormat="false" ht="15" hidden="false" customHeight="false" outlineLevel="0" collapsed="false">
      <c r="A889" s="148" t="n">
        <v>40675</v>
      </c>
      <c r="B889" s="37" t="n">
        <v>74.9746551513672</v>
      </c>
    </row>
    <row r="890" customFormat="false" ht="15" hidden="false" customHeight="false" outlineLevel="0" collapsed="false">
      <c r="A890" s="148" t="n">
        <v>40676</v>
      </c>
      <c r="B890" s="37" t="n">
        <v>74.9746551513672</v>
      </c>
    </row>
    <row r="891" customFormat="false" ht="15" hidden="false" customHeight="false" outlineLevel="0" collapsed="false">
      <c r="A891" s="148" t="n">
        <v>40679</v>
      </c>
      <c r="B891" s="37" t="n">
        <v>70.9760055541992</v>
      </c>
    </row>
    <row r="892" customFormat="false" ht="15" hidden="false" customHeight="false" outlineLevel="0" collapsed="false">
      <c r="A892" s="148" t="n">
        <v>40680</v>
      </c>
      <c r="B892" s="37" t="n">
        <v>69.9763412475586</v>
      </c>
    </row>
    <row r="893" customFormat="false" ht="15" hidden="false" customHeight="false" outlineLevel="0" collapsed="false">
      <c r="A893" s="148" t="n">
        <v>40681</v>
      </c>
      <c r="B893" s="37" t="n">
        <v>69.9763412475586</v>
      </c>
    </row>
    <row r="894" customFormat="false" ht="15" hidden="false" customHeight="false" outlineLevel="0" collapsed="false">
      <c r="A894" s="148" t="n">
        <v>40682</v>
      </c>
      <c r="B894" s="37" t="n">
        <v>69.9763412475586</v>
      </c>
    </row>
    <row r="895" customFormat="false" ht="15" hidden="false" customHeight="false" outlineLevel="0" collapsed="false">
      <c r="A895" s="148" t="n">
        <v>40683</v>
      </c>
      <c r="B895" s="37" t="n">
        <v>78.9733047485352</v>
      </c>
    </row>
    <row r="896" customFormat="false" ht="15" hidden="false" customHeight="false" outlineLevel="0" collapsed="false">
      <c r="A896" s="148" t="n">
        <v>40686</v>
      </c>
      <c r="B896" s="37" t="n">
        <v>78.9733047485352</v>
      </c>
    </row>
    <row r="897" customFormat="false" ht="15" hidden="false" customHeight="false" outlineLevel="0" collapsed="false">
      <c r="A897" s="148" t="n">
        <v>40687</v>
      </c>
      <c r="B897" s="37" t="n">
        <v>74.9746551513672</v>
      </c>
    </row>
    <row r="898" customFormat="false" ht="15" hidden="false" customHeight="false" outlineLevel="0" collapsed="false">
      <c r="A898" s="148" t="n">
        <v>40688</v>
      </c>
      <c r="B898" s="37" t="n">
        <v>74.9746551513672</v>
      </c>
    </row>
    <row r="899" customFormat="false" ht="15" hidden="false" customHeight="false" outlineLevel="0" collapsed="false">
      <c r="A899" s="148" t="n">
        <v>40689</v>
      </c>
      <c r="B899" s="37" t="n">
        <v>74.9746551513672</v>
      </c>
    </row>
    <row r="900" customFormat="false" ht="15" hidden="false" customHeight="false" outlineLevel="0" collapsed="false">
      <c r="A900" s="148" t="n">
        <v>40690</v>
      </c>
      <c r="B900" s="37" t="n">
        <v>74.9746551513672</v>
      </c>
    </row>
    <row r="901" customFormat="false" ht="15" hidden="false" customHeight="false" outlineLevel="0" collapsed="false">
      <c r="A901" s="148" t="n">
        <v>40693</v>
      </c>
      <c r="B901" s="37" t="n">
        <v>74.9746551513672</v>
      </c>
    </row>
    <row r="902" customFormat="false" ht="15" hidden="false" customHeight="false" outlineLevel="0" collapsed="false">
      <c r="A902" s="148" t="n">
        <v>40694</v>
      </c>
      <c r="B902" s="37" t="n">
        <v>74.9746551513672</v>
      </c>
    </row>
    <row r="903" customFormat="false" ht="15" hidden="false" customHeight="false" outlineLevel="0" collapsed="false">
      <c r="A903" s="148" t="n">
        <v>40695</v>
      </c>
      <c r="B903" s="37" t="n">
        <v>74.9746551513672</v>
      </c>
    </row>
    <row r="904" customFormat="false" ht="15" hidden="false" customHeight="false" outlineLevel="0" collapsed="false">
      <c r="A904" s="148" t="n">
        <v>40696</v>
      </c>
      <c r="B904" s="37" t="n">
        <v>74.9746551513672</v>
      </c>
    </row>
    <row r="905" customFormat="false" ht="15" hidden="false" customHeight="false" outlineLevel="0" collapsed="false">
      <c r="A905" s="148" t="n">
        <v>40697</v>
      </c>
      <c r="B905" s="37" t="n">
        <v>74.9746551513672</v>
      </c>
    </row>
    <row r="906" customFormat="false" ht="15" hidden="false" customHeight="false" outlineLevel="0" collapsed="false">
      <c r="A906" s="148" t="n">
        <v>40700</v>
      </c>
      <c r="B906" s="37" t="n">
        <v>74.9746551513672</v>
      </c>
    </row>
    <row r="907" customFormat="false" ht="15" hidden="false" customHeight="false" outlineLevel="0" collapsed="false">
      <c r="A907" s="148" t="n">
        <v>40701</v>
      </c>
      <c r="B907" s="37" t="n">
        <v>79.9729614257813</v>
      </c>
    </row>
    <row r="908" customFormat="false" ht="15" hidden="false" customHeight="false" outlineLevel="0" collapsed="false">
      <c r="A908" s="148" t="n">
        <v>40702</v>
      </c>
      <c r="B908" s="37" t="n">
        <v>74.9746551513672</v>
      </c>
    </row>
    <row r="909" customFormat="false" ht="15" hidden="false" customHeight="false" outlineLevel="0" collapsed="false">
      <c r="A909" s="148" t="n">
        <v>40703</v>
      </c>
      <c r="B909" s="37" t="n">
        <v>74.9746551513672</v>
      </c>
    </row>
    <row r="910" customFormat="false" ht="15" hidden="false" customHeight="false" outlineLevel="0" collapsed="false">
      <c r="A910" s="148" t="n">
        <v>40704</v>
      </c>
      <c r="B910" s="37" t="n">
        <v>69.9763412475586</v>
      </c>
    </row>
    <row r="911" customFormat="false" ht="15" hidden="false" customHeight="false" outlineLevel="0" collapsed="false">
      <c r="A911" s="148" t="n">
        <v>40707</v>
      </c>
      <c r="B911" s="37" t="n">
        <v>69.9763412475586</v>
      </c>
    </row>
    <row r="912" customFormat="false" ht="15" hidden="false" customHeight="false" outlineLevel="0" collapsed="false">
      <c r="A912" s="148" t="n">
        <v>40708</v>
      </c>
      <c r="B912" s="37" t="n">
        <v>69.9763412475586</v>
      </c>
    </row>
    <row r="913" customFormat="false" ht="15" hidden="false" customHeight="false" outlineLevel="0" collapsed="false">
      <c r="A913" s="148" t="n">
        <v>40709</v>
      </c>
      <c r="B913" s="37" t="n">
        <v>69.9763412475586</v>
      </c>
    </row>
    <row r="914" customFormat="false" ht="15" hidden="false" customHeight="false" outlineLevel="0" collapsed="false">
      <c r="A914" s="148" t="n">
        <v>40710</v>
      </c>
      <c r="B914" s="37" t="n">
        <v>69.9763412475586</v>
      </c>
    </row>
    <row r="915" customFormat="false" ht="15" hidden="false" customHeight="false" outlineLevel="0" collapsed="false">
      <c r="A915" s="148" t="n">
        <v>40711</v>
      </c>
      <c r="B915" s="37" t="n">
        <v>70.9760055541992</v>
      </c>
    </row>
    <row r="916" customFormat="false" ht="15" hidden="false" customHeight="false" outlineLevel="0" collapsed="false">
      <c r="A916" s="148" t="n">
        <v>40714</v>
      </c>
      <c r="B916" s="37" t="n">
        <v>70.9760055541992</v>
      </c>
    </row>
    <row r="917" customFormat="false" ht="15" hidden="false" customHeight="false" outlineLevel="0" collapsed="false">
      <c r="A917" s="148" t="n">
        <v>40715</v>
      </c>
      <c r="B917" s="37" t="n">
        <v>74.9746551513672</v>
      </c>
    </row>
    <row r="918" customFormat="false" ht="15" hidden="false" customHeight="false" outlineLevel="0" collapsed="false">
      <c r="A918" s="148" t="n">
        <v>40716</v>
      </c>
      <c r="B918" s="37" t="n">
        <v>74.9746551513672</v>
      </c>
    </row>
    <row r="919" customFormat="false" ht="15" hidden="false" customHeight="false" outlineLevel="0" collapsed="false">
      <c r="A919" s="148" t="n">
        <v>40717</v>
      </c>
      <c r="B919" s="37" t="n">
        <v>64.9780349731445</v>
      </c>
    </row>
    <row r="920" customFormat="false" ht="15" hidden="false" customHeight="false" outlineLevel="0" collapsed="false">
      <c r="A920" s="148" t="n">
        <v>40718</v>
      </c>
      <c r="B920" s="37" t="n">
        <v>64.9780349731445</v>
      </c>
    </row>
    <row r="921" customFormat="false" ht="15" hidden="false" customHeight="false" outlineLevel="0" collapsed="false">
      <c r="A921" s="148" t="n">
        <v>40721</v>
      </c>
      <c r="B921" s="37" t="n">
        <v>64.9780349731445</v>
      </c>
    </row>
    <row r="922" customFormat="false" ht="15" hidden="false" customHeight="false" outlineLevel="0" collapsed="false">
      <c r="A922" s="148" t="n">
        <v>40722</v>
      </c>
      <c r="B922" s="37" t="n">
        <v>64.9780349731445</v>
      </c>
    </row>
    <row r="923" customFormat="false" ht="15" hidden="false" customHeight="false" outlineLevel="0" collapsed="false">
      <c r="A923" s="148" t="n">
        <v>40723</v>
      </c>
      <c r="B923" s="37" t="n">
        <v>64.9780349731445</v>
      </c>
    </row>
    <row r="924" customFormat="false" ht="15" hidden="false" customHeight="false" outlineLevel="0" collapsed="false">
      <c r="A924" s="148" t="n">
        <v>40724</v>
      </c>
      <c r="B924" s="37" t="n">
        <v>64.9780349731445</v>
      </c>
    </row>
    <row r="925" customFormat="false" ht="15" hidden="false" customHeight="false" outlineLevel="0" collapsed="false">
      <c r="A925" s="148" t="n">
        <v>40725</v>
      </c>
      <c r="B925" s="37" t="n">
        <v>69.9763412475586</v>
      </c>
    </row>
    <row r="926" customFormat="false" ht="15" hidden="false" customHeight="false" outlineLevel="0" collapsed="false">
      <c r="A926" s="148" t="n">
        <v>40728</v>
      </c>
      <c r="B926" s="37" t="n">
        <v>69.9763412475586</v>
      </c>
    </row>
    <row r="927" customFormat="false" ht="15" hidden="false" customHeight="false" outlineLevel="0" collapsed="false">
      <c r="A927" s="148" t="n">
        <v>40729</v>
      </c>
      <c r="B927" s="37" t="n">
        <v>72.9753341674805</v>
      </c>
    </row>
    <row r="928" customFormat="false" ht="15" hidden="false" customHeight="false" outlineLevel="0" collapsed="false">
      <c r="A928" s="148" t="n">
        <v>40730</v>
      </c>
      <c r="B928" s="37" t="n">
        <v>72.9753341674805</v>
      </c>
    </row>
    <row r="929" customFormat="false" ht="15" hidden="false" customHeight="false" outlineLevel="0" collapsed="false">
      <c r="A929" s="148" t="n">
        <v>40731</v>
      </c>
      <c r="B929" s="37" t="n">
        <v>69.9763412475586</v>
      </c>
    </row>
    <row r="930" customFormat="false" ht="15" hidden="false" customHeight="false" outlineLevel="0" collapsed="false">
      <c r="A930" s="148" t="n">
        <v>40732</v>
      </c>
      <c r="B930" s="37" t="n">
        <v>69.9763412475586</v>
      </c>
    </row>
    <row r="931" customFormat="false" ht="15" hidden="false" customHeight="false" outlineLevel="0" collapsed="false">
      <c r="A931" s="148" t="n">
        <v>40735</v>
      </c>
      <c r="B931" s="37" t="n">
        <v>69.9763412475586</v>
      </c>
    </row>
    <row r="932" customFormat="false" ht="15" hidden="false" customHeight="false" outlineLevel="0" collapsed="false">
      <c r="A932" s="148" t="n">
        <v>40736</v>
      </c>
      <c r="B932" s="37" t="n">
        <v>69.9763412475586</v>
      </c>
    </row>
    <row r="933" customFormat="false" ht="15" hidden="false" customHeight="false" outlineLevel="0" collapsed="false">
      <c r="A933" s="148" t="n">
        <v>40737</v>
      </c>
      <c r="B933" s="37" t="n">
        <v>69.9763412475586</v>
      </c>
    </row>
    <row r="934" customFormat="false" ht="15" hidden="false" customHeight="false" outlineLevel="0" collapsed="false">
      <c r="A934" s="148" t="n">
        <v>40738</v>
      </c>
      <c r="B934" s="37" t="n">
        <v>69.9763412475586</v>
      </c>
    </row>
    <row r="935" customFormat="false" ht="15" hidden="false" customHeight="false" outlineLevel="0" collapsed="false">
      <c r="A935" s="148" t="n">
        <v>40739</v>
      </c>
      <c r="B935" s="37" t="n">
        <v>69.9763412475586</v>
      </c>
    </row>
    <row r="936" customFormat="false" ht="15" hidden="false" customHeight="false" outlineLevel="0" collapsed="false">
      <c r="A936" s="148" t="n">
        <v>40742</v>
      </c>
      <c r="B936" s="37" t="n">
        <v>69.9763412475586</v>
      </c>
    </row>
    <row r="937" customFormat="false" ht="15" hidden="false" customHeight="false" outlineLevel="0" collapsed="false">
      <c r="A937" s="148" t="n">
        <v>40743</v>
      </c>
      <c r="B937" s="37" t="n">
        <v>69.9763412475586</v>
      </c>
    </row>
    <row r="938" customFormat="false" ht="15" hidden="false" customHeight="false" outlineLevel="0" collapsed="false">
      <c r="A938" s="148" t="n">
        <v>40744</v>
      </c>
      <c r="B938" s="37" t="n">
        <v>69.9763412475586</v>
      </c>
    </row>
    <row r="939" customFormat="false" ht="15" hidden="false" customHeight="false" outlineLevel="0" collapsed="false">
      <c r="A939" s="148" t="n">
        <v>40745</v>
      </c>
      <c r="B939" s="37" t="n">
        <v>74.9746551513672</v>
      </c>
    </row>
    <row r="940" customFormat="false" ht="15" hidden="false" customHeight="false" outlineLevel="0" collapsed="false">
      <c r="A940" s="148" t="n">
        <v>40746</v>
      </c>
      <c r="B940" s="37" t="n">
        <v>74.9746551513672</v>
      </c>
    </row>
    <row r="941" customFormat="false" ht="15" hidden="false" customHeight="false" outlineLevel="0" collapsed="false">
      <c r="A941" s="148" t="n">
        <v>40749</v>
      </c>
      <c r="B941" s="37" t="n">
        <v>79.9729614257813</v>
      </c>
    </row>
    <row r="942" customFormat="false" ht="15" hidden="false" customHeight="false" outlineLevel="0" collapsed="false">
      <c r="A942" s="148" t="n">
        <v>40750</v>
      </c>
      <c r="B942" s="37" t="n">
        <v>79.9729614257813</v>
      </c>
    </row>
    <row r="943" customFormat="false" ht="15" hidden="false" customHeight="false" outlineLevel="0" collapsed="false">
      <c r="A943" s="148" t="n">
        <v>40751</v>
      </c>
      <c r="B943" s="37" t="n">
        <v>84.9712753295898</v>
      </c>
    </row>
    <row r="944" customFormat="false" ht="15" hidden="false" customHeight="false" outlineLevel="0" collapsed="false">
      <c r="A944" s="148" t="n">
        <v>40752</v>
      </c>
      <c r="B944" s="37" t="n">
        <v>109.962829589844</v>
      </c>
    </row>
    <row r="945" customFormat="false" ht="15" hidden="false" customHeight="false" outlineLevel="0" collapsed="false">
      <c r="A945" s="148" t="n">
        <v>40753</v>
      </c>
      <c r="B945" s="37" t="n">
        <v>109.962829589844</v>
      </c>
    </row>
    <row r="946" customFormat="false" ht="15" hidden="false" customHeight="false" outlineLevel="0" collapsed="false">
      <c r="A946" s="148" t="n">
        <v>40756</v>
      </c>
      <c r="B946" s="37" t="n">
        <v>109.962829589844</v>
      </c>
    </row>
    <row r="947" customFormat="false" ht="15" hidden="false" customHeight="false" outlineLevel="0" collapsed="false">
      <c r="A947" s="148" t="n">
        <v>40757</v>
      </c>
      <c r="B947" s="37" t="n">
        <v>109.962829589844</v>
      </c>
    </row>
    <row r="948" customFormat="false" ht="15" hidden="false" customHeight="false" outlineLevel="0" collapsed="false">
      <c r="A948" s="148" t="n">
        <v>40758</v>
      </c>
      <c r="B948" s="37" t="n">
        <v>109.962829589844</v>
      </c>
    </row>
    <row r="949" customFormat="false" ht="15" hidden="false" customHeight="false" outlineLevel="0" collapsed="false">
      <c r="A949" s="148" t="n">
        <v>40759</v>
      </c>
      <c r="B949" s="37" t="n">
        <v>99.9662017822266</v>
      </c>
    </row>
    <row r="950" customFormat="false" ht="15" hidden="false" customHeight="false" outlineLevel="0" collapsed="false">
      <c r="A950" s="148" t="n">
        <v>40760</v>
      </c>
      <c r="B950" s="37" t="n">
        <v>99.9662017822266</v>
      </c>
    </row>
    <row r="951" customFormat="false" ht="15" hidden="false" customHeight="false" outlineLevel="0" collapsed="false">
      <c r="A951" s="148" t="n">
        <v>40763</v>
      </c>
      <c r="B951" s="37" t="n">
        <v>99.9662017822266</v>
      </c>
    </row>
    <row r="952" customFormat="false" ht="15" hidden="false" customHeight="false" outlineLevel="0" collapsed="false">
      <c r="A952" s="148" t="n">
        <v>40764</v>
      </c>
      <c r="B952" s="37" t="n">
        <v>99.9662017822266</v>
      </c>
    </row>
    <row r="953" customFormat="false" ht="15" hidden="false" customHeight="false" outlineLevel="0" collapsed="false">
      <c r="A953" s="148" t="n">
        <v>40765</v>
      </c>
      <c r="B953" s="37" t="n">
        <v>100.965866088867</v>
      </c>
    </row>
    <row r="954" customFormat="false" ht="15" hidden="false" customHeight="false" outlineLevel="0" collapsed="false">
      <c r="A954" s="148" t="n">
        <v>40766</v>
      </c>
      <c r="B954" s="37" t="n">
        <v>100.965866088867</v>
      </c>
    </row>
    <row r="955" customFormat="false" ht="15" hidden="false" customHeight="false" outlineLevel="0" collapsed="false">
      <c r="A955" s="148" t="n">
        <v>40767</v>
      </c>
      <c r="B955" s="37" t="n">
        <v>104.964515686035</v>
      </c>
    </row>
    <row r="956" customFormat="false" ht="15" hidden="false" customHeight="false" outlineLevel="0" collapsed="false">
      <c r="A956" s="148" t="n">
        <v>40770</v>
      </c>
      <c r="B956" s="37" t="n">
        <v>105.964179992676</v>
      </c>
    </row>
    <row r="957" customFormat="false" ht="15" hidden="false" customHeight="false" outlineLevel="0" collapsed="false">
      <c r="A957" s="148" t="n">
        <v>40771</v>
      </c>
      <c r="B957" s="37" t="n">
        <v>92.9685745239258</v>
      </c>
    </row>
    <row r="958" customFormat="false" ht="15" hidden="false" customHeight="false" outlineLevel="0" collapsed="false">
      <c r="A958" s="148" t="n">
        <v>40772</v>
      </c>
      <c r="B958" s="37" t="n">
        <v>101.965530395508</v>
      </c>
    </row>
    <row r="959" customFormat="false" ht="15" hidden="false" customHeight="false" outlineLevel="0" collapsed="false">
      <c r="A959" s="148" t="n">
        <v>40773</v>
      </c>
      <c r="B959" s="37" t="n">
        <v>101.965530395508</v>
      </c>
    </row>
    <row r="960" customFormat="false" ht="15" hidden="false" customHeight="false" outlineLevel="0" collapsed="false">
      <c r="A960" s="148" t="n">
        <v>40774</v>
      </c>
      <c r="B960" s="37" t="n">
        <v>102.965194702148</v>
      </c>
    </row>
    <row r="961" customFormat="false" ht="15" hidden="false" customHeight="false" outlineLevel="0" collapsed="false">
      <c r="A961" s="148" t="n">
        <v>40777</v>
      </c>
      <c r="B961" s="37" t="n">
        <v>102.965194702148</v>
      </c>
    </row>
    <row r="962" customFormat="false" ht="15" hidden="false" customHeight="false" outlineLevel="0" collapsed="false">
      <c r="A962" s="148" t="n">
        <v>40778</v>
      </c>
      <c r="B962" s="37" t="n">
        <v>98.9665451049805</v>
      </c>
    </row>
    <row r="963" customFormat="false" ht="15" hidden="false" customHeight="false" outlineLevel="0" collapsed="false">
      <c r="A963" s="148" t="n">
        <v>40779</v>
      </c>
      <c r="B963" s="37" t="n">
        <v>98.9665451049805</v>
      </c>
    </row>
    <row r="964" customFormat="false" ht="15" hidden="false" customHeight="false" outlineLevel="0" collapsed="false">
      <c r="A964" s="148" t="n">
        <v>40780</v>
      </c>
      <c r="B964" s="37" t="n">
        <v>105.964179992676</v>
      </c>
    </row>
    <row r="965" customFormat="false" ht="15" hidden="false" customHeight="false" outlineLevel="0" collapsed="false">
      <c r="A965" s="148" t="n">
        <v>40781</v>
      </c>
      <c r="B965" s="37" t="n">
        <v>99.9662017822266</v>
      </c>
    </row>
    <row r="966" customFormat="false" ht="15" hidden="false" customHeight="false" outlineLevel="0" collapsed="false">
      <c r="A966" s="148" t="n">
        <v>40784</v>
      </c>
      <c r="B966" s="37" t="n">
        <v>105.964179992676</v>
      </c>
    </row>
    <row r="967" customFormat="false" ht="15" hidden="false" customHeight="false" outlineLevel="0" collapsed="false">
      <c r="A967" s="148" t="n">
        <v>40785</v>
      </c>
      <c r="B967" s="37" t="n">
        <v>104.964515686035</v>
      </c>
    </row>
    <row r="968" customFormat="false" ht="15" hidden="false" customHeight="false" outlineLevel="0" collapsed="false">
      <c r="A968" s="148" t="n">
        <v>40786</v>
      </c>
      <c r="B968" s="37" t="n">
        <v>146.950332641602</v>
      </c>
    </row>
    <row r="969" customFormat="false" ht="15" hidden="false" customHeight="false" outlineLevel="0" collapsed="false">
      <c r="A969" s="148" t="n">
        <v>40787</v>
      </c>
      <c r="B969" s="37" t="n">
        <v>119.959449768066</v>
      </c>
    </row>
    <row r="970" customFormat="false" ht="15" hidden="false" customHeight="false" outlineLevel="0" collapsed="false">
      <c r="A970" s="148" t="n">
        <v>40788</v>
      </c>
      <c r="B970" s="37" t="n">
        <v>109.962829589844</v>
      </c>
    </row>
    <row r="971" customFormat="false" ht="15" hidden="false" customHeight="false" outlineLevel="0" collapsed="false">
      <c r="A971" s="148" t="n">
        <v>40791</v>
      </c>
      <c r="B971" s="37" t="n">
        <v>104.964515686035</v>
      </c>
    </row>
    <row r="972" customFormat="false" ht="15" hidden="false" customHeight="false" outlineLevel="0" collapsed="false">
      <c r="A972" s="148" t="n">
        <v>40792</v>
      </c>
      <c r="B972" s="37" t="n">
        <v>114.961143493652</v>
      </c>
    </row>
    <row r="973" customFormat="false" ht="15" hidden="false" customHeight="false" outlineLevel="0" collapsed="false">
      <c r="A973" s="148" t="n">
        <v>40793</v>
      </c>
      <c r="B973" s="37" t="n">
        <v>115.960800170898</v>
      </c>
    </row>
    <row r="974" customFormat="false" ht="15" hidden="false" customHeight="false" outlineLevel="0" collapsed="false">
      <c r="A974" s="148" t="n">
        <v>40794</v>
      </c>
      <c r="B974" s="37" t="n">
        <v>109.962829589844</v>
      </c>
    </row>
    <row r="975" customFormat="false" ht="15" hidden="false" customHeight="false" outlineLevel="0" collapsed="false">
      <c r="A975" s="148" t="n">
        <v>40795</v>
      </c>
      <c r="B975" s="37" t="n">
        <v>118.959785461426</v>
      </c>
    </row>
    <row r="976" customFormat="false" ht="15" hidden="false" customHeight="false" outlineLevel="0" collapsed="false">
      <c r="A976" s="148" t="n">
        <v>40798</v>
      </c>
      <c r="B976" s="37" t="n">
        <v>111.962150573731</v>
      </c>
    </row>
    <row r="977" customFormat="false" ht="15" hidden="false" customHeight="false" outlineLevel="0" collapsed="false">
      <c r="A977" s="148" t="n">
        <v>40799</v>
      </c>
      <c r="B977" s="37" t="n">
        <v>119.959449768066</v>
      </c>
    </row>
    <row r="978" customFormat="false" ht="15" hidden="false" customHeight="false" outlineLevel="0" collapsed="false">
      <c r="A978" s="148" t="n">
        <v>40800</v>
      </c>
      <c r="B978" s="37" t="n">
        <v>119.959449768066</v>
      </c>
    </row>
    <row r="979" customFormat="false" ht="15" hidden="false" customHeight="false" outlineLevel="0" collapsed="false">
      <c r="A979" s="148" t="n">
        <v>40801</v>
      </c>
      <c r="B979" s="37" t="n">
        <v>124.957763671875</v>
      </c>
    </row>
    <row r="980" customFormat="false" ht="15" hidden="false" customHeight="false" outlineLevel="0" collapsed="false">
      <c r="A980" s="148" t="n">
        <v>40802</v>
      </c>
      <c r="B980" s="37" t="n">
        <v>124.957763671875</v>
      </c>
    </row>
    <row r="981" customFormat="false" ht="15" hidden="false" customHeight="false" outlineLevel="0" collapsed="false">
      <c r="A981" s="148" t="n">
        <v>40805</v>
      </c>
      <c r="B981" s="37" t="n">
        <v>122.958435058594</v>
      </c>
    </row>
    <row r="982" customFormat="false" ht="15" hidden="false" customHeight="false" outlineLevel="0" collapsed="false">
      <c r="A982" s="148" t="n">
        <v>40806</v>
      </c>
      <c r="B982" s="37" t="n">
        <v>129.956069946289</v>
      </c>
    </row>
    <row r="983" customFormat="false" ht="15" hidden="false" customHeight="false" outlineLevel="0" collapsed="false">
      <c r="A983" s="148" t="n">
        <v>40807</v>
      </c>
      <c r="B983" s="37" t="n">
        <v>138.953018188477</v>
      </c>
    </row>
    <row r="984" customFormat="false" ht="15" hidden="false" customHeight="false" outlineLevel="0" collapsed="false">
      <c r="A984" s="148" t="n">
        <v>40808</v>
      </c>
      <c r="B984" s="37" t="n">
        <v>144.95100402832</v>
      </c>
    </row>
    <row r="985" customFormat="false" ht="15" hidden="false" customHeight="false" outlineLevel="0" collapsed="false">
      <c r="A985" s="148" t="n">
        <v>40809</v>
      </c>
      <c r="B985" s="37" t="n">
        <v>132.955047607422</v>
      </c>
    </row>
    <row r="986" customFormat="false" ht="15" hidden="false" customHeight="false" outlineLevel="0" collapsed="false">
      <c r="A986" s="148" t="n">
        <v>40812</v>
      </c>
      <c r="B986" s="37" t="n">
        <v>119.959449768066</v>
      </c>
    </row>
    <row r="987" customFormat="false" ht="15" hidden="false" customHeight="false" outlineLevel="0" collapsed="false">
      <c r="A987" s="148" t="n">
        <v>40813</v>
      </c>
      <c r="B987" s="37" t="n">
        <v>132.955047607422</v>
      </c>
    </row>
    <row r="988" customFormat="false" ht="15" hidden="false" customHeight="false" outlineLevel="0" collapsed="false">
      <c r="A988" s="148" t="n">
        <v>40814</v>
      </c>
      <c r="B988" s="37" t="n">
        <v>132.955047607422</v>
      </c>
    </row>
    <row r="989" customFormat="false" ht="15" hidden="false" customHeight="false" outlineLevel="0" collapsed="false">
      <c r="A989" s="148" t="n">
        <v>40815</v>
      </c>
      <c r="B989" s="37" t="n">
        <v>127.956741333008</v>
      </c>
    </row>
    <row r="990" customFormat="false" ht="15" hidden="false" customHeight="false" outlineLevel="0" collapsed="false">
      <c r="A990" s="148" t="n">
        <v>40816</v>
      </c>
      <c r="B990" s="37" t="n">
        <v>127.956741333008</v>
      </c>
    </row>
    <row r="991" customFormat="false" ht="15" hidden="false" customHeight="false" outlineLevel="0" collapsed="false">
      <c r="A991" s="148" t="n">
        <v>40819</v>
      </c>
      <c r="B991" s="37" t="n">
        <v>124.957763671875</v>
      </c>
    </row>
    <row r="992" customFormat="false" ht="15" hidden="false" customHeight="false" outlineLevel="0" collapsed="false">
      <c r="A992" s="148" t="n">
        <v>40820</v>
      </c>
      <c r="B992" s="37" t="n">
        <v>124.957763671875</v>
      </c>
    </row>
    <row r="993" customFormat="false" ht="15" hidden="false" customHeight="false" outlineLevel="0" collapsed="false">
      <c r="A993" s="148" t="n">
        <v>40821</v>
      </c>
      <c r="B993" s="37" t="n">
        <v>134.954376220703</v>
      </c>
    </row>
    <row r="994" customFormat="false" ht="15" hidden="false" customHeight="false" outlineLevel="0" collapsed="false">
      <c r="A994" s="148" t="n">
        <v>40822</v>
      </c>
      <c r="B994" s="37" t="n">
        <v>127.956741333008</v>
      </c>
    </row>
    <row r="995" customFormat="false" ht="15" hidden="false" customHeight="false" outlineLevel="0" collapsed="false">
      <c r="A995" s="148" t="n">
        <v>40823</v>
      </c>
      <c r="B995" s="37" t="n">
        <v>143.95133972168</v>
      </c>
    </row>
    <row r="996" customFormat="false" ht="15" hidden="false" customHeight="false" outlineLevel="0" collapsed="false">
      <c r="A996" s="148" t="n">
        <v>40826</v>
      </c>
      <c r="B996" s="37" t="n">
        <v>131.95539855957</v>
      </c>
    </row>
    <row r="997" customFormat="false" ht="15" hidden="false" customHeight="false" outlineLevel="0" collapsed="false">
      <c r="A997" s="148" t="n">
        <v>40827</v>
      </c>
      <c r="B997" s="37" t="n">
        <v>143.95133972168</v>
      </c>
    </row>
    <row r="998" customFormat="false" ht="15" hidden="false" customHeight="false" outlineLevel="0" collapsed="false">
      <c r="A998" s="148" t="n">
        <v>40828</v>
      </c>
      <c r="B998" s="37" t="n">
        <v>139.952682495117</v>
      </c>
    </row>
    <row r="999" customFormat="false" ht="15" hidden="false" customHeight="false" outlineLevel="0" collapsed="false">
      <c r="A999" s="148" t="n">
        <v>40829</v>
      </c>
      <c r="B999" s="37" t="n">
        <v>134.954376220703</v>
      </c>
    </row>
    <row r="1000" customFormat="false" ht="15" hidden="false" customHeight="false" outlineLevel="0" collapsed="false">
      <c r="A1000" s="148" t="n">
        <v>40830</v>
      </c>
      <c r="B1000" s="37" t="n">
        <v>194.934097290039</v>
      </c>
    </row>
    <row r="1001" customFormat="false" ht="15" hidden="false" customHeight="false" outlineLevel="0" collapsed="false">
      <c r="A1001" s="148" t="n">
        <v>40833</v>
      </c>
      <c r="B1001" s="37" t="n">
        <v>148.949645996094</v>
      </c>
    </row>
    <row r="1002" customFormat="false" ht="15" hidden="false" customHeight="false" outlineLevel="0" collapsed="false">
      <c r="A1002" s="148" t="n">
        <v>40834</v>
      </c>
      <c r="B1002" s="37" t="n">
        <v>174.940856933594</v>
      </c>
    </row>
    <row r="1003" customFormat="false" ht="15" hidden="false" customHeight="false" outlineLevel="0" collapsed="false">
      <c r="A1003" s="148" t="n">
        <v>40835</v>
      </c>
      <c r="B1003" s="37" t="n">
        <v>174.940856933594</v>
      </c>
    </row>
    <row r="1004" customFormat="false" ht="15" hidden="false" customHeight="false" outlineLevel="0" collapsed="false">
      <c r="A1004" s="148" t="n">
        <v>40836</v>
      </c>
      <c r="B1004" s="37" t="n">
        <v>179.939163208008</v>
      </c>
    </row>
    <row r="1005" customFormat="false" ht="15" hidden="false" customHeight="false" outlineLevel="0" collapsed="false">
      <c r="A1005" s="148" t="n">
        <v>40837</v>
      </c>
      <c r="B1005" s="37" t="n">
        <v>186.936813354492</v>
      </c>
    </row>
    <row r="1006" customFormat="false" ht="15" hidden="false" customHeight="false" outlineLevel="0" collapsed="false">
      <c r="A1006" s="148" t="n">
        <v>40840</v>
      </c>
      <c r="B1006" s="37" t="n">
        <v>189.935791015625</v>
      </c>
    </row>
    <row r="1007" customFormat="false" ht="15" hidden="false" customHeight="false" outlineLevel="0" collapsed="false">
      <c r="A1007" s="148" t="n">
        <v>40841</v>
      </c>
      <c r="B1007" s="37" t="n">
        <v>189.935791015625</v>
      </c>
    </row>
    <row r="1008" customFormat="false" ht="15" hidden="false" customHeight="false" outlineLevel="0" collapsed="false">
      <c r="A1008" s="148" t="n">
        <v>40842</v>
      </c>
      <c r="B1008" s="37" t="n">
        <v>179.939163208008</v>
      </c>
    </row>
    <row r="1009" customFormat="false" ht="15" hidden="false" customHeight="false" outlineLevel="0" collapsed="false">
      <c r="A1009" s="148" t="n">
        <v>40843</v>
      </c>
      <c r="B1009" s="37" t="n">
        <v>161.945251464844</v>
      </c>
    </row>
    <row r="1010" customFormat="false" ht="15" hidden="false" customHeight="false" outlineLevel="0" collapsed="false">
      <c r="A1010" s="148" t="n">
        <v>40844</v>
      </c>
      <c r="B1010" s="37" t="n">
        <v>189.935791015625</v>
      </c>
    </row>
    <row r="1011" customFormat="false" ht="15" hidden="false" customHeight="false" outlineLevel="0" collapsed="false">
      <c r="A1011" s="148" t="n">
        <v>40847</v>
      </c>
      <c r="B1011" s="37" t="n">
        <v>188.936141967773</v>
      </c>
    </row>
    <row r="1012" customFormat="false" ht="15" hidden="false" customHeight="false" outlineLevel="0" collapsed="false">
      <c r="A1012" s="148" t="n">
        <v>40848</v>
      </c>
      <c r="B1012" s="37" t="n">
        <v>159.945922851563</v>
      </c>
    </row>
    <row r="1013" customFormat="false" ht="15" hidden="false" customHeight="false" outlineLevel="0" collapsed="false">
      <c r="A1013" s="148" t="n">
        <v>40849</v>
      </c>
      <c r="B1013" s="37" t="n">
        <v>188.936141967773</v>
      </c>
    </row>
    <row r="1014" customFormat="false" ht="15" hidden="false" customHeight="false" outlineLevel="0" collapsed="false">
      <c r="A1014" s="148" t="n">
        <v>40850</v>
      </c>
      <c r="B1014" s="37" t="n">
        <v>184.937484741211</v>
      </c>
    </row>
    <row r="1015" customFormat="false" ht="15" hidden="false" customHeight="false" outlineLevel="0" collapsed="false">
      <c r="A1015" s="148" t="n">
        <v>40851</v>
      </c>
      <c r="B1015" s="37" t="n">
        <v>184.937484741211</v>
      </c>
    </row>
    <row r="1016" customFormat="false" ht="15" hidden="false" customHeight="false" outlineLevel="0" collapsed="false">
      <c r="A1016" s="148" t="n">
        <v>40854</v>
      </c>
      <c r="B1016" s="37" t="n">
        <v>184.937484741211</v>
      </c>
    </row>
    <row r="1017" customFormat="false" ht="15" hidden="false" customHeight="false" outlineLevel="0" collapsed="false">
      <c r="A1017" s="148" t="n">
        <v>40855</v>
      </c>
      <c r="B1017" s="37" t="n">
        <v>194.934097290039</v>
      </c>
    </row>
    <row r="1018" customFormat="false" ht="15" hidden="false" customHeight="false" outlineLevel="0" collapsed="false">
      <c r="A1018" s="148" t="n">
        <v>40856</v>
      </c>
      <c r="B1018" s="37" t="n">
        <v>191.935119628906</v>
      </c>
    </row>
    <row r="1019" customFormat="false" ht="15" hidden="false" customHeight="false" outlineLevel="0" collapsed="false">
      <c r="A1019" s="148" t="n">
        <v>40857</v>
      </c>
      <c r="B1019" s="37" t="n">
        <v>190.935455322266</v>
      </c>
    </row>
    <row r="1020" customFormat="false" ht="15" hidden="false" customHeight="false" outlineLevel="0" collapsed="false">
      <c r="A1020" s="148" t="n">
        <v>40858</v>
      </c>
      <c r="B1020" s="37" t="n">
        <v>194.934097290039</v>
      </c>
    </row>
    <row r="1021" customFormat="false" ht="15" hidden="false" customHeight="false" outlineLevel="0" collapsed="false">
      <c r="A1021" s="148" t="n">
        <v>40861</v>
      </c>
      <c r="B1021" s="37" t="n">
        <v>199.932403564453</v>
      </c>
    </row>
    <row r="1022" customFormat="false" ht="15" hidden="false" customHeight="false" outlineLevel="0" collapsed="false">
      <c r="A1022" s="148" t="n">
        <v>40862</v>
      </c>
      <c r="B1022" s="37" t="n">
        <v>207.929718017578</v>
      </c>
    </row>
    <row r="1023" customFormat="false" ht="15" hidden="false" customHeight="false" outlineLevel="0" collapsed="false">
      <c r="A1023" s="148" t="n">
        <v>40863</v>
      </c>
      <c r="B1023" s="37" t="n">
        <v>209.92903137207</v>
      </c>
    </row>
    <row r="1024" customFormat="false" ht="15" hidden="false" customHeight="false" outlineLevel="0" collapsed="false">
      <c r="A1024" s="148" t="n">
        <v>40864</v>
      </c>
      <c r="B1024" s="37" t="n">
        <v>209.92903137207</v>
      </c>
    </row>
    <row r="1025" customFormat="false" ht="15" hidden="false" customHeight="false" outlineLevel="0" collapsed="false">
      <c r="A1025" s="148" t="n">
        <v>40865</v>
      </c>
      <c r="B1025" s="37" t="n">
        <v>207.929718017578</v>
      </c>
    </row>
    <row r="1026" customFormat="false" ht="15" hidden="false" customHeight="false" outlineLevel="0" collapsed="false">
      <c r="A1026" s="148" t="n">
        <v>40868</v>
      </c>
      <c r="B1026" s="37" t="n">
        <v>279.905364990234</v>
      </c>
    </row>
    <row r="1027" customFormat="false" ht="15" hidden="false" customHeight="false" outlineLevel="0" collapsed="false">
      <c r="A1027" s="148" t="n">
        <v>40869</v>
      </c>
      <c r="B1027" s="37" t="n">
        <v>299.898620605469</v>
      </c>
    </row>
    <row r="1028" customFormat="false" ht="15" hidden="false" customHeight="false" outlineLevel="0" collapsed="false">
      <c r="A1028" s="148" t="n">
        <v>40870</v>
      </c>
      <c r="B1028" s="37" t="n">
        <v>297.899291992188</v>
      </c>
    </row>
    <row r="1029" customFormat="false" ht="15" hidden="false" customHeight="false" outlineLevel="0" collapsed="false">
      <c r="A1029" s="148" t="n">
        <v>40871</v>
      </c>
      <c r="B1029" s="37" t="n">
        <v>274.907073974609</v>
      </c>
    </row>
    <row r="1030" customFormat="false" ht="15" hidden="false" customHeight="false" outlineLevel="0" collapsed="false">
      <c r="A1030" s="148" t="n">
        <v>40872</v>
      </c>
      <c r="B1030" s="37" t="n">
        <v>259.912139892578</v>
      </c>
    </row>
    <row r="1031" customFormat="false" ht="15" hidden="false" customHeight="false" outlineLevel="0" collapsed="false">
      <c r="A1031" s="148" t="n">
        <v>40875</v>
      </c>
      <c r="B1031" s="37" t="n">
        <v>314.8935546875</v>
      </c>
    </row>
    <row r="1032" customFormat="false" ht="15" hidden="false" customHeight="false" outlineLevel="0" collapsed="false">
      <c r="A1032" s="148" t="n">
        <v>40876</v>
      </c>
      <c r="B1032" s="37" t="n">
        <v>284.903717041016</v>
      </c>
    </row>
    <row r="1033" customFormat="false" ht="15" hidden="false" customHeight="false" outlineLevel="0" collapsed="false">
      <c r="A1033" s="148" t="n">
        <v>40877</v>
      </c>
      <c r="B1033" s="37" t="n">
        <v>307.895904541016</v>
      </c>
    </row>
    <row r="1034" customFormat="false" ht="15" hidden="false" customHeight="false" outlineLevel="0" collapsed="false">
      <c r="A1034" s="148" t="n">
        <v>40878</v>
      </c>
      <c r="B1034" s="37" t="n">
        <v>309.895233154297</v>
      </c>
    </row>
    <row r="1035" customFormat="false" ht="15" hidden="false" customHeight="false" outlineLevel="0" collapsed="false">
      <c r="A1035" s="148" t="n">
        <v>40879</v>
      </c>
      <c r="B1035" s="37" t="n">
        <v>275.90673828125</v>
      </c>
    </row>
    <row r="1036" customFormat="false" ht="15" hidden="false" customHeight="false" outlineLevel="0" collapsed="false">
      <c r="A1036" s="148" t="n">
        <v>40882</v>
      </c>
      <c r="B1036" s="37" t="n">
        <v>274.907073974609</v>
      </c>
    </row>
    <row r="1037" customFormat="false" ht="15" hidden="false" customHeight="false" outlineLevel="0" collapsed="false">
      <c r="A1037" s="148" t="n">
        <v>40883</v>
      </c>
      <c r="B1037" s="37" t="n">
        <v>289.902008056641</v>
      </c>
    </row>
    <row r="1038" customFormat="false" ht="15" hidden="false" customHeight="false" outlineLevel="0" collapsed="false">
      <c r="A1038" s="148" t="n">
        <v>40884</v>
      </c>
      <c r="B1038" s="37" t="n">
        <v>289.902008056641</v>
      </c>
    </row>
    <row r="1039" customFormat="false" ht="15" hidden="false" customHeight="false" outlineLevel="0" collapsed="false">
      <c r="A1039" s="148" t="n">
        <v>40885</v>
      </c>
      <c r="B1039" s="37" t="n">
        <v>303.897277832031</v>
      </c>
    </row>
    <row r="1040" customFormat="false" ht="15" hidden="false" customHeight="false" outlineLevel="0" collapsed="false">
      <c r="A1040" s="148" t="n">
        <v>40886</v>
      </c>
      <c r="B1040" s="37" t="n">
        <v>299.898620605469</v>
      </c>
    </row>
    <row r="1041" customFormat="false" ht="15" hidden="false" customHeight="false" outlineLevel="0" collapsed="false">
      <c r="A1041" s="148" t="n">
        <v>40889</v>
      </c>
      <c r="B1041" s="37" t="n">
        <v>279.905364990234</v>
      </c>
    </row>
    <row r="1042" customFormat="false" ht="15" hidden="false" customHeight="false" outlineLevel="0" collapsed="false">
      <c r="A1042" s="148" t="n">
        <v>40890</v>
      </c>
      <c r="B1042" s="37" t="n">
        <v>289.902008056641</v>
      </c>
    </row>
    <row r="1043" customFormat="false" ht="15" hidden="false" customHeight="false" outlineLevel="0" collapsed="false">
      <c r="A1043" s="148" t="n">
        <v>40891</v>
      </c>
      <c r="B1043" s="37" t="n">
        <v>289.902008056641</v>
      </c>
    </row>
    <row r="1044" customFormat="false" ht="15" hidden="false" customHeight="false" outlineLevel="0" collapsed="false">
      <c r="A1044" s="148" t="n">
        <v>40892</v>
      </c>
      <c r="B1044" s="37" t="n">
        <v>299.898620605469</v>
      </c>
    </row>
    <row r="1045" customFormat="false" ht="15" hidden="false" customHeight="false" outlineLevel="0" collapsed="false">
      <c r="A1045" s="148" t="n">
        <v>40893</v>
      </c>
      <c r="B1045" s="37" t="n">
        <v>299.898620605469</v>
      </c>
    </row>
    <row r="1046" customFormat="false" ht="15" hidden="false" customHeight="false" outlineLevel="0" collapsed="false">
      <c r="A1046" s="148" t="n">
        <v>40896</v>
      </c>
      <c r="B1046" s="37" t="n">
        <v>294.900299072266</v>
      </c>
    </row>
    <row r="1047" customFormat="false" ht="15" hidden="false" customHeight="false" outlineLevel="0" collapsed="false">
      <c r="A1047" s="148" t="n">
        <v>40897</v>
      </c>
      <c r="B1047" s="37" t="n">
        <v>314.8935546875</v>
      </c>
    </row>
    <row r="1048" customFormat="false" ht="15" hidden="false" customHeight="false" outlineLevel="0" collapsed="false">
      <c r="A1048" s="148" t="n">
        <v>40898</v>
      </c>
      <c r="B1048" s="37" t="n">
        <v>319.891845703125</v>
      </c>
    </row>
    <row r="1049" customFormat="false" ht="15" hidden="false" customHeight="false" outlineLevel="0" collapsed="false">
      <c r="A1049" s="148" t="n">
        <v>40899</v>
      </c>
      <c r="B1049" s="37" t="n">
        <v>337.885772705078</v>
      </c>
    </row>
    <row r="1050" customFormat="false" ht="15" hidden="false" customHeight="false" outlineLevel="0" collapsed="false">
      <c r="A1050" s="148" t="n">
        <v>40900</v>
      </c>
      <c r="B1050" s="37" t="n">
        <v>324.890197753906</v>
      </c>
    </row>
    <row r="1051" customFormat="false" ht="15" hidden="false" customHeight="false" outlineLevel="0" collapsed="false">
      <c r="A1051" s="148" t="n">
        <v>40903</v>
      </c>
      <c r="B1051" s="37" t="n">
        <v>324.890197753906</v>
      </c>
    </row>
    <row r="1052" customFormat="false" ht="15" hidden="false" customHeight="false" outlineLevel="0" collapsed="false">
      <c r="A1052" s="148" t="n">
        <v>40904</v>
      </c>
      <c r="B1052" s="37" t="n">
        <v>324.890197753906</v>
      </c>
    </row>
    <row r="1053" customFormat="false" ht="15" hidden="false" customHeight="false" outlineLevel="0" collapsed="false">
      <c r="A1053" s="148" t="n">
        <v>40905</v>
      </c>
      <c r="B1053" s="37" t="n">
        <v>323.890502929688</v>
      </c>
    </row>
    <row r="1054" customFormat="false" ht="15" hidden="false" customHeight="false" outlineLevel="0" collapsed="false">
      <c r="A1054" s="148" t="n">
        <v>40906</v>
      </c>
      <c r="B1054" s="37" t="n">
        <v>323.890502929688</v>
      </c>
    </row>
    <row r="1055" customFormat="false" ht="15" hidden="false" customHeight="false" outlineLevel="0" collapsed="false">
      <c r="A1055" s="148" t="n">
        <v>40907</v>
      </c>
      <c r="B1055" s="37" t="n">
        <v>319.891845703125</v>
      </c>
    </row>
    <row r="1056" customFormat="false" ht="15" hidden="false" customHeight="false" outlineLevel="0" collapsed="false">
      <c r="A1056" s="148" t="n">
        <v>40910</v>
      </c>
      <c r="B1056" s="37" t="n">
        <v>319.891845703125</v>
      </c>
    </row>
    <row r="1057" customFormat="false" ht="15" hidden="false" customHeight="false" outlineLevel="0" collapsed="false">
      <c r="A1057" s="148" t="n">
        <v>40911</v>
      </c>
      <c r="B1057" s="37" t="n">
        <v>323.890502929688</v>
      </c>
    </row>
    <row r="1058" customFormat="false" ht="15" hidden="false" customHeight="false" outlineLevel="0" collapsed="false">
      <c r="A1058" s="148" t="n">
        <v>40912</v>
      </c>
      <c r="B1058" s="37" t="n">
        <v>324.890197753906</v>
      </c>
    </row>
    <row r="1059" customFormat="false" ht="15" hidden="false" customHeight="false" outlineLevel="0" collapsed="false">
      <c r="A1059" s="148" t="n">
        <v>40913</v>
      </c>
      <c r="B1059" s="37" t="n">
        <v>333.887145996094</v>
      </c>
    </row>
    <row r="1060" customFormat="false" ht="15" hidden="false" customHeight="false" outlineLevel="0" collapsed="false">
      <c r="A1060" s="148" t="n">
        <v>40914</v>
      </c>
      <c r="B1060" s="37" t="n">
        <v>333.887145996094</v>
      </c>
    </row>
    <row r="1061" customFormat="false" ht="15" hidden="false" customHeight="false" outlineLevel="0" collapsed="false">
      <c r="A1061" s="148" t="n">
        <v>40917</v>
      </c>
      <c r="B1061" s="37" t="n">
        <v>332.887451171875</v>
      </c>
    </row>
    <row r="1062" customFormat="false" ht="15" hidden="false" customHeight="false" outlineLevel="0" collapsed="false">
      <c r="A1062" s="148" t="n">
        <v>40918</v>
      </c>
      <c r="B1062" s="37" t="n">
        <v>333.887145996094</v>
      </c>
    </row>
    <row r="1063" customFormat="false" ht="15" hidden="false" customHeight="false" outlineLevel="0" collapsed="false">
      <c r="A1063" s="148" t="n">
        <v>40919</v>
      </c>
      <c r="B1063" s="37" t="n">
        <v>321.891174316406</v>
      </c>
    </row>
    <row r="1064" customFormat="false" ht="15" hidden="false" customHeight="false" outlineLevel="0" collapsed="false">
      <c r="A1064" s="148" t="n">
        <v>40920</v>
      </c>
      <c r="B1064" s="37" t="n">
        <v>325.889831542969</v>
      </c>
    </row>
    <row r="1065" customFormat="false" ht="15" hidden="false" customHeight="false" outlineLevel="0" collapsed="false">
      <c r="A1065" s="148" t="n">
        <v>40921</v>
      </c>
      <c r="B1065" s="37" t="n">
        <v>419.858062744141</v>
      </c>
    </row>
    <row r="1066" customFormat="false" ht="15" hidden="false" customHeight="false" outlineLevel="0" collapsed="false">
      <c r="A1066" s="148" t="n">
        <v>40924</v>
      </c>
      <c r="B1066" s="37" t="n">
        <v>409.861450195313</v>
      </c>
    </row>
    <row r="1067" customFormat="false" ht="15" hidden="false" customHeight="false" outlineLevel="0" collapsed="false">
      <c r="A1067" s="148" t="n">
        <v>40925</v>
      </c>
      <c r="B1067" s="37" t="n">
        <v>402.863830566406</v>
      </c>
    </row>
    <row r="1068" customFormat="false" ht="15" hidden="false" customHeight="false" outlineLevel="0" collapsed="false">
      <c r="A1068" s="148" t="n">
        <v>40926</v>
      </c>
      <c r="B1068" s="37" t="n">
        <v>409.861450195313</v>
      </c>
    </row>
    <row r="1069" customFormat="false" ht="15" hidden="false" customHeight="false" outlineLevel="0" collapsed="false">
      <c r="A1069" s="148" t="n">
        <v>40927</v>
      </c>
      <c r="B1069" s="37" t="n">
        <v>414.859741210938</v>
      </c>
    </row>
    <row r="1070" customFormat="false" ht="15" hidden="false" customHeight="false" outlineLevel="0" collapsed="false">
      <c r="A1070" s="148" t="n">
        <v>40928</v>
      </c>
      <c r="B1070" s="37" t="n">
        <v>414.859741210938</v>
      </c>
    </row>
    <row r="1071" customFormat="false" ht="15" hidden="false" customHeight="false" outlineLevel="0" collapsed="false">
      <c r="A1071" s="148" t="n">
        <v>40931</v>
      </c>
      <c r="B1071" s="37" t="n">
        <v>414.859741210938</v>
      </c>
    </row>
    <row r="1072" customFormat="false" ht="15" hidden="false" customHeight="false" outlineLevel="0" collapsed="false">
      <c r="A1072" s="148" t="n">
        <v>40932</v>
      </c>
      <c r="B1072" s="37" t="n">
        <v>402.863830566406</v>
      </c>
    </row>
    <row r="1073" customFormat="false" ht="15" hidden="false" customHeight="false" outlineLevel="0" collapsed="false">
      <c r="A1073" s="148" t="n">
        <v>40933</v>
      </c>
      <c r="B1073" s="37" t="n">
        <v>409.861450195313</v>
      </c>
    </row>
    <row r="1074" customFormat="false" ht="15" hidden="false" customHeight="false" outlineLevel="0" collapsed="false">
      <c r="A1074" s="148" t="n">
        <v>40934</v>
      </c>
      <c r="B1074" s="37" t="n">
        <v>394.866516113281</v>
      </c>
    </row>
    <row r="1075" customFormat="false" ht="15" hidden="false" customHeight="false" outlineLevel="0" collapsed="false">
      <c r="A1075" s="148" t="n">
        <v>40935</v>
      </c>
      <c r="B1075" s="37" t="n">
        <v>414.859741210938</v>
      </c>
    </row>
    <row r="1076" customFormat="false" ht="15" hidden="false" customHeight="false" outlineLevel="0" collapsed="false">
      <c r="A1076" s="148" t="n">
        <v>40938</v>
      </c>
      <c r="B1076" s="37" t="n">
        <v>394.866516113281</v>
      </c>
    </row>
    <row r="1077" customFormat="false" ht="15" hidden="false" customHeight="false" outlineLevel="0" collapsed="false">
      <c r="A1077" s="148" t="n">
        <v>40939</v>
      </c>
      <c r="B1077" s="37" t="n">
        <v>409.861450195313</v>
      </c>
    </row>
    <row r="1078" customFormat="false" ht="15" hidden="false" customHeight="false" outlineLevel="0" collapsed="false">
      <c r="A1078" s="148" t="n">
        <v>40940</v>
      </c>
      <c r="B1078" s="37" t="n">
        <v>409.861450195313</v>
      </c>
    </row>
    <row r="1079" customFormat="false" ht="15" hidden="false" customHeight="false" outlineLevel="0" collapsed="false">
      <c r="A1079" s="148" t="n">
        <v>40941</v>
      </c>
      <c r="B1079" s="37" t="n">
        <v>413.860107421875</v>
      </c>
    </row>
    <row r="1080" customFormat="false" ht="15" hidden="false" customHeight="false" outlineLevel="0" collapsed="false">
      <c r="A1080" s="148" t="n">
        <v>40942</v>
      </c>
      <c r="B1080" s="37" t="n">
        <v>400.864501953125</v>
      </c>
    </row>
    <row r="1081" customFormat="false" ht="15" hidden="false" customHeight="false" outlineLevel="0" collapsed="false">
      <c r="A1081" s="148" t="n">
        <v>40945</v>
      </c>
      <c r="B1081" s="37" t="n">
        <v>379.87158203125</v>
      </c>
    </row>
    <row r="1082" customFormat="false" ht="15" hidden="false" customHeight="false" outlineLevel="0" collapsed="false">
      <c r="A1082" s="148" t="n">
        <v>40946</v>
      </c>
      <c r="B1082" s="37" t="n">
        <v>387.868896484375</v>
      </c>
    </row>
    <row r="1083" customFormat="false" ht="15" hidden="false" customHeight="false" outlineLevel="0" collapsed="false">
      <c r="A1083" s="148" t="n">
        <v>40947</v>
      </c>
      <c r="B1083" s="37" t="n">
        <v>399.864807128906</v>
      </c>
    </row>
    <row r="1084" customFormat="false" ht="15" hidden="false" customHeight="false" outlineLevel="0" collapsed="false">
      <c r="A1084" s="148" t="n">
        <v>40948</v>
      </c>
      <c r="B1084" s="37" t="n">
        <v>399.864807128906</v>
      </c>
    </row>
    <row r="1085" customFormat="false" ht="15" hidden="false" customHeight="false" outlineLevel="0" collapsed="false">
      <c r="A1085" s="148" t="n">
        <v>40949</v>
      </c>
      <c r="B1085" s="37" t="n">
        <v>408.861785888672</v>
      </c>
    </row>
    <row r="1086" customFormat="false" ht="15" hidden="false" customHeight="false" outlineLevel="0" collapsed="false">
      <c r="A1086" s="148" t="n">
        <v>40952</v>
      </c>
      <c r="B1086" s="37" t="n">
        <v>400.864501953125</v>
      </c>
    </row>
    <row r="1087" customFormat="false" ht="15" hidden="false" customHeight="false" outlineLevel="0" collapsed="false">
      <c r="A1087" s="148" t="n">
        <v>40953</v>
      </c>
      <c r="B1087" s="37" t="n">
        <v>409.861450195313</v>
      </c>
    </row>
    <row r="1088" customFormat="false" ht="15" hidden="false" customHeight="false" outlineLevel="0" collapsed="false">
      <c r="A1088" s="148" t="n">
        <v>40954</v>
      </c>
      <c r="B1088" s="37" t="n">
        <v>409.861450195313</v>
      </c>
    </row>
    <row r="1089" customFormat="false" ht="15" hidden="false" customHeight="false" outlineLevel="0" collapsed="false">
      <c r="A1089" s="148" t="n">
        <v>40955</v>
      </c>
      <c r="B1089" s="37" t="n">
        <v>404.863159179688</v>
      </c>
    </row>
    <row r="1090" customFormat="false" ht="15" hidden="false" customHeight="false" outlineLevel="0" collapsed="false">
      <c r="A1090" s="148" t="n">
        <v>40956</v>
      </c>
      <c r="B1090" s="37" t="n">
        <v>404.863159179688</v>
      </c>
    </row>
    <row r="1091" customFormat="false" ht="15" hidden="false" customHeight="false" outlineLevel="0" collapsed="false">
      <c r="A1091" s="148" t="n">
        <v>40959</v>
      </c>
      <c r="B1091" s="37" t="n">
        <v>399.864807128906</v>
      </c>
    </row>
    <row r="1092" customFormat="false" ht="15" hidden="false" customHeight="false" outlineLevel="0" collapsed="false">
      <c r="A1092" s="148" t="n">
        <v>40960</v>
      </c>
      <c r="B1092" s="37" t="n">
        <v>407.862121582031</v>
      </c>
    </row>
    <row r="1093" customFormat="false" ht="15" hidden="false" customHeight="false" outlineLevel="0" collapsed="false">
      <c r="A1093" s="148" t="n">
        <v>40961</v>
      </c>
      <c r="B1093" s="37" t="n">
        <v>407.862121582031</v>
      </c>
    </row>
    <row r="1094" customFormat="false" ht="15" hidden="false" customHeight="false" outlineLevel="0" collapsed="false">
      <c r="A1094" s="148" t="n">
        <v>40962</v>
      </c>
      <c r="B1094" s="37" t="n">
        <v>424.856384277344</v>
      </c>
    </row>
    <row r="1095" customFormat="false" ht="15" hidden="false" customHeight="false" outlineLevel="0" collapsed="false">
      <c r="A1095" s="148" t="n">
        <v>40963</v>
      </c>
      <c r="B1095" s="37" t="n">
        <v>418.8583984375</v>
      </c>
    </row>
    <row r="1096" customFormat="false" ht="15" hidden="false" customHeight="false" outlineLevel="0" collapsed="false">
      <c r="A1096" s="148" t="n">
        <v>40966</v>
      </c>
      <c r="B1096" s="37" t="n">
        <v>449.847930908203</v>
      </c>
    </row>
    <row r="1097" customFormat="false" ht="15" hidden="false" customHeight="false" outlineLevel="0" collapsed="false">
      <c r="A1097" s="148" t="n">
        <v>40967</v>
      </c>
      <c r="B1097" s="37" t="n">
        <v>429.854675292969</v>
      </c>
    </row>
    <row r="1098" customFormat="false" ht="15" hidden="false" customHeight="false" outlineLevel="0" collapsed="false">
      <c r="A1098" s="148" t="n">
        <v>40968</v>
      </c>
      <c r="B1098" s="37" t="n">
        <v>429.854675292969</v>
      </c>
    </row>
    <row r="1099" customFormat="false" ht="15" hidden="false" customHeight="false" outlineLevel="0" collapsed="false">
      <c r="A1099" s="148" t="n">
        <v>40969</v>
      </c>
      <c r="B1099" s="37" t="n">
        <v>497.831726074219</v>
      </c>
    </row>
    <row r="1100" customFormat="false" ht="15" hidden="false" customHeight="false" outlineLevel="0" collapsed="false">
      <c r="A1100" s="148" t="n">
        <v>40970</v>
      </c>
      <c r="B1100" s="37" t="n">
        <v>475.839141845703</v>
      </c>
    </row>
    <row r="1101" customFormat="false" ht="15" hidden="false" customHeight="false" outlineLevel="0" collapsed="false">
      <c r="A1101" s="148" t="n">
        <v>40973</v>
      </c>
      <c r="B1101" s="37" t="n">
        <v>469.841186523438</v>
      </c>
    </row>
    <row r="1102" customFormat="false" ht="15" hidden="false" customHeight="false" outlineLevel="0" collapsed="false">
      <c r="A1102" s="148" t="n">
        <v>40974</v>
      </c>
      <c r="B1102" s="37" t="n">
        <v>469.841186523438</v>
      </c>
    </row>
    <row r="1103" customFormat="false" ht="15" hidden="false" customHeight="false" outlineLevel="0" collapsed="false">
      <c r="A1103" s="148" t="n">
        <v>40975</v>
      </c>
      <c r="B1103" s="37" t="n">
        <v>459.844573974609</v>
      </c>
    </row>
    <row r="1104" customFormat="false" ht="15" hidden="false" customHeight="false" outlineLevel="0" collapsed="false">
      <c r="A1104" s="148" t="n">
        <v>40976</v>
      </c>
      <c r="B1104" s="37" t="n">
        <v>459.844573974609</v>
      </c>
    </row>
    <row r="1105" customFormat="false" ht="15" hidden="false" customHeight="false" outlineLevel="0" collapsed="false">
      <c r="A1105" s="148" t="n">
        <v>40977</v>
      </c>
      <c r="B1105" s="37" t="n">
        <v>460.844207763672</v>
      </c>
    </row>
    <row r="1106" customFormat="false" ht="15" hidden="false" customHeight="false" outlineLevel="0" collapsed="false">
      <c r="A1106" s="148" t="n">
        <v>40980</v>
      </c>
      <c r="B1106" s="37" t="n">
        <v>464.842864990234</v>
      </c>
    </row>
    <row r="1107" customFormat="false" ht="15" hidden="false" customHeight="false" outlineLevel="0" collapsed="false">
      <c r="A1107" s="148" t="n">
        <v>40981</v>
      </c>
      <c r="B1107" s="37" t="n">
        <v>487.835083007813</v>
      </c>
    </row>
    <row r="1108" customFormat="false" ht="15" hidden="false" customHeight="false" outlineLevel="0" collapsed="false">
      <c r="A1108" s="148" t="n">
        <v>40982</v>
      </c>
      <c r="B1108" s="37" t="n">
        <v>477.838470458984</v>
      </c>
    </row>
    <row r="1109" customFormat="false" ht="15" hidden="false" customHeight="false" outlineLevel="0" collapsed="false">
      <c r="A1109" s="148" t="n">
        <v>40983</v>
      </c>
      <c r="B1109" s="37" t="n">
        <v>479.837799072266</v>
      </c>
    </row>
    <row r="1110" customFormat="false" ht="15" hidden="false" customHeight="false" outlineLevel="0" collapsed="false">
      <c r="A1110" s="148" t="n">
        <v>40984</v>
      </c>
      <c r="B1110" s="37" t="n">
        <v>474.839477539063</v>
      </c>
    </row>
    <row r="1111" customFormat="false" ht="15" hidden="false" customHeight="false" outlineLevel="0" collapsed="false">
      <c r="A1111" s="148" t="n">
        <v>40987</v>
      </c>
      <c r="B1111" s="37" t="n">
        <v>474.839477539063</v>
      </c>
    </row>
    <row r="1112" customFormat="false" ht="15" hidden="false" customHeight="false" outlineLevel="0" collapsed="false">
      <c r="A1112" s="148" t="n">
        <v>40988</v>
      </c>
      <c r="B1112" s="37" t="n">
        <v>463.843200683594</v>
      </c>
    </row>
    <row r="1113" customFormat="false" ht="15" hidden="false" customHeight="false" outlineLevel="0" collapsed="false">
      <c r="A1113" s="148" t="n">
        <v>40989</v>
      </c>
      <c r="B1113" s="37" t="n">
        <v>463.843200683594</v>
      </c>
    </row>
    <row r="1114" customFormat="false" ht="15" hidden="false" customHeight="false" outlineLevel="0" collapsed="false">
      <c r="A1114" s="148" t="n">
        <v>40990</v>
      </c>
      <c r="B1114" s="37" t="n">
        <v>449.847930908203</v>
      </c>
    </row>
    <row r="1115" customFormat="false" ht="15" hidden="false" customHeight="false" outlineLevel="0" collapsed="false">
      <c r="A1115" s="148" t="n">
        <v>40991</v>
      </c>
      <c r="B1115" s="37" t="n">
        <v>451.847259521484</v>
      </c>
    </row>
    <row r="1116" customFormat="false" ht="15" hidden="false" customHeight="false" outlineLevel="0" collapsed="false">
      <c r="A1116" s="148" t="n">
        <v>40994</v>
      </c>
      <c r="B1116" s="37" t="n">
        <v>449.847930908203</v>
      </c>
    </row>
    <row r="1117" customFormat="false" ht="15" hidden="false" customHeight="false" outlineLevel="0" collapsed="false">
      <c r="A1117" s="148" t="n">
        <v>40995</v>
      </c>
      <c r="B1117" s="37" t="n">
        <v>464.842864990234</v>
      </c>
    </row>
    <row r="1118" customFormat="false" ht="15" hidden="false" customHeight="false" outlineLevel="0" collapsed="false">
      <c r="A1118" s="148" t="n">
        <v>40996</v>
      </c>
      <c r="B1118" s="37" t="n">
        <v>454.846221923828</v>
      </c>
    </row>
    <row r="1119" customFormat="false" ht="15" hidden="false" customHeight="false" outlineLevel="0" collapsed="false">
      <c r="A1119" s="148" t="n">
        <v>40997</v>
      </c>
      <c r="B1119" s="37" t="n">
        <v>459.844573974609</v>
      </c>
    </row>
    <row r="1120" customFormat="false" ht="15" hidden="false" customHeight="false" outlineLevel="0" collapsed="false">
      <c r="A1120" s="148" t="n">
        <v>40998</v>
      </c>
      <c r="B1120" s="37" t="n">
        <v>468.841522216797</v>
      </c>
    </row>
    <row r="1121" customFormat="false" ht="15" hidden="false" customHeight="false" outlineLevel="0" collapsed="false">
      <c r="A1121" s="148" t="n">
        <v>41001</v>
      </c>
      <c r="B1121" s="37" t="n">
        <v>469.841186523438</v>
      </c>
    </row>
    <row r="1122" customFormat="false" ht="15" hidden="false" customHeight="false" outlineLevel="0" collapsed="false">
      <c r="A1122" s="148" t="n">
        <v>41002</v>
      </c>
      <c r="B1122" s="37" t="n">
        <v>464.842864990234</v>
      </c>
    </row>
    <row r="1123" customFormat="false" ht="15" hidden="false" customHeight="false" outlineLevel="0" collapsed="false">
      <c r="A1123" s="148" t="n">
        <v>41003</v>
      </c>
      <c r="B1123" s="37" t="n">
        <v>457.845245361328</v>
      </c>
    </row>
    <row r="1124" customFormat="false" ht="15" hidden="false" customHeight="false" outlineLevel="0" collapsed="false">
      <c r="A1124" s="148" t="n">
        <v>41004</v>
      </c>
      <c r="B1124" s="37" t="n">
        <v>458.844879150391</v>
      </c>
    </row>
    <row r="1125" customFormat="false" ht="15" hidden="false" customHeight="false" outlineLevel="0" collapsed="false">
      <c r="A1125" s="148" t="n">
        <v>41005</v>
      </c>
      <c r="B1125" s="37" t="n">
        <v>458.844879150391</v>
      </c>
    </row>
    <row r="1126" customFormat="false" ht="15" hidden="false" customHeight="false" outlineLevel="0" collapsed="false">
      <c r="A1126" s="148" t="n">
        <v>41008</v>
      </c>
      <c r="B1126" s="37" t="n">
        <v>458.844879150391</v>
      </c>
    </row>
    <row r="1127" customFormat="false" ht="15" hidden="false" customHeight="false" outlineLevel="0" collapsed="false">
      <c r="A1127" s="148" t="n">
        <v>41009</v>
      </c>
      <c r="B1127" s="37" t="n">
        <v>469.841186523438</v>
      </c>
    </row>
    <row r="1128" customFormat="false" ht="15" hidden="false" customHeight="false" outlineLevel="0" collapsed="false">
      <c r="A1128" s="148" t="n">
        <v>41010</v>
      </c>
      <c r="B1128" s="37" t="n">
        <v>444.849639892578</v>
      </c>
    </row>
    <row r="1129" customFormat="false" ht="15" hidden="false" customHeight="false" outlineLevel="0" collapsed="false">
      <c r="A1129" s="148" t="n">
        <v>41011</v>
      </c>
      <c r="B1129" s="37" t="n">
        <v>459.844573974609</v>
      </c>
    </row>
    <row r="1130" customFormat="false" ht="15" hidden="false" customHeight="false" outlineLevel="0" collapsed="false">
      <c r="A1130" s="148" t="n">
        <v>41012</v>
      </c>
      <c r="B1130" s="37" t="n">
        <v>459.844573974609</v>
      </c>
    </row>
    <row r="1131" customFormat="false" ht="15" hidden="false" customHeight="false" outlineLevel="0" collapsed="false">
      <c r="A1131" s="148" t="n">
        <v>41015</v>
      </c>
      <c r="B1131" s="37" t="n">
        <v>385.869567871094</v>
      </c>
    </row>
    <row r="1132" customFormat="false" ht="15" hidden="false" customHeight="false" outlineLevel="0" collapsed="false">
      <c r="A1132" s="148" t="n">
        <v>41016</v>
      </c>
      <c r="B1132" s="37" t="n">
        <v>395.866180419922</v>
      </c>
    </row>
    <row r="1133" customFormat="false" ht="15" hidden="false" customHeight="false" outlineLevel="0" collapsed="false">
      <c r="A1133" s="148" t="n">
        <v>41017</v>
      </c>
      <c r="B1133" s="37" t="n">
        <v>399.864807128906</v>
      </c>
    </row>
    <row r="1134" customFormat="false" ht="15" hidden="false" customHeight="false" outlineLevel="0" collapsed="false">
      <c r="A1134" s="148" t="n">
        <v>41018</v>
      </c>
      <c r="B1134" s="37" t="n">
        <v>409.861450195313</v>
      </c>
    </row>
    <row r="1135" customFormat="false" ht="15" hidden="false" customHeight="false" outlineLevel="0" collapsed="false">
      <c r="A1135" s="148" t="n">
        <v>41019</v>
      </c>
      <c r="B1135" s="37" t="n">
        <v>406.862487792969</v>
      </c>
    </row>
    <row r="1136" customFormat="false" ht="15" hidden="false" customHeight="false" outlineLevel="0" collapsed="false">
      <c r="A1136" s="148" t="n">
        <v>41022</v>
      </c>
      <c r="B1136" s="37" t="n">
        <v>409.861450195313</v>
      </c>
    </row>
    <row r="1137" customFormat="false" ht="15" hidden="false" customHeight="false" outlineLevel="0" collapsed="false">
      <c r="A1137" s="148" t="n">
        <v>41023</v>
      </c>
      <c r="B1137" s="37" t="n">
        <v>349.881713867188</v>
      </c>
    </row>
    <row r="1138" customFormat="false" ht="15" hidden="false" customHeight="false" outlineLevel="0" collapsed="false">
      <c r="A1138" s="148" t="n">
        <v>41024</v>
      </c>
      <c r="B1138" s="37" t="n">
        <v>379.87158203125</v>
      </c>
    </row>
    <row r="1139" customFormat="false" ht="15" hidden="false" customHeight="false" outlineLevel="0" collapsed="false">
      <c r="A1139" s="148" t="n">
        <v>41025</v>
      </c>
      <c r="B1139" s="37" t="n">
        <v>359.878326416016</v>
      </c>
    </row>
    <row r="1140" customFormat="false" ht="15" hidden="false" customHeight="false" outlineLevel="0" collapsed="false">
      <c r="A1140" s="148" t="n">
        <v>41026</v>
      </c>
      <c r="B1140" s="37" t="n">
        <v>359.878326416016</v>
      </c>
    </row>
    <row r="1141" customFormat="false" ht="15" hidden="false" customHeight="false" outlineLevel="0" collapsed="false">
      <c r="A1141" s="148" t="n">
        <v>41029</v>
      </c>
      <c r="B1141" s="37" t="n">
        <v>370.874603271484</v>
      </c>
    </row>
    <row r="1142" customFormat="false" ht="15" hidden="false" customHeight="false" outlineLevel="0" collapsed="false">
      <c r="A1142" s="148" t="n">
        <v>41030</v>
      </c>
      <c r="B1142" s="37" t="n">
        <v>370.874603271484</v>
      </c>
    </row>
    <row r="1143" customFormat="false" ht="15" hidden="false" customHeight="false" outlineLevel="0" collapsed="false">
      <c r="A1143" s="148" t="n">
        <v>41031</v>
      </c>
      <c r="B1143" s="37" t="n">
        <v>394.866516113281</v>
      </c>
    </row>
    <row r="1144" customFormat="false" ht="15" hidden="false" customHeight="false" outlineLevel="0" collapsed="false">
      <c r="A1144" s="148" t="n">
        <v>41032</v>
      </c>
      <c r="B1144" s="37" t="n">
        <v>399.864807128906</v>
      </c>
    </row>
    <row r="1145" customFormat="false" ht="15" hidden="false" customHeight="false" outlineLevel="0" collapsed="false">
      <c r="A1145" s="148" t="n">
        <v>41033</v>
      </c>
      <c r="B1145" s="37" t="n">
        <v>409.861450195313</v>
      </c>
    </row>
    <row r="1146" customFormat="false" ht="15" hidden="false" customHeight="false" outlineLevel="0" collapsed="false">
      <c r="A1146" s="148" t="n">
        <v>41036</v>
      </c>
      <c r="B1146" s="37" t="n">
        <v>424.856384277344</v>
      </c>
    </row>
    <row r="1147" customFormat="false" ht="15" hidden="false" customHeight="false" outlineLevel="0" collapsed="false">
      <c r="A1147" s="148" t="n">
        <v>41037</v>
      </c>
      <c r="B1147" s="37" t="n">
        <v>424.856384277344</v>
      </c>
    </row>
    <row r="1148" customFormat="false" ht="15" hidden="false" customHeight="false" outlineLevel="0" collapsed="false">
      <c r="A1148" s="148" t="n">
        <v>41038</v>
      </c>
      <c r="B1148" s="37" t="n">
        <v>424.856384277344</v>
      </c>
    </row>
    <row r="1149" customFormat="false" ht="15" hidden="false" customHeight="false" outlineLevel="0" collapsed="false">
      <c r="A1149" s="148" t="n">
        <v>41039</v>
      </c>
      <c r="B1149" s="37" t="n">
        <v>429.854675292969</v>
      </c>
    </row>
    <row r="1150" customFormat="false" ht="15" hidden="false" customHeight="false" outlineLevel="0" collapsed="false">
      <c r="A1150" s="148" t="n">
        <v>41040</v>
      </c>
      <c r="B1150" s="37" t="n">
        <v>438.851654052734</v>
      </c>
    </row>
    <row r="1151" customFormat="false" ht="15" hidden="false" customHeight="false" outlineLevel="0" collapsed="false">
      <c r="A1151" s="148" t="n">
        <v>41043</v>
      </c>
      <c r="B1151" s="37" t="n">
        <v>434.852996826172</v>
      </c>
    </row>
    <row r="1152" customFormat="false" ht="15" hidden="false" customHeight="false" outlineLevel="0" collapsed="false">
      <c r="A1152" s="148" t="n">
        <v>41044</v>
      </c>
      <c r="B1152" s="37" t="n">
        <v>404.863159179688</v>
      </c>
    </row>
    <row r="1153" customFormat="false" ht="15" hidden="false" customHeight="false" outlineLevel="0" collapsed="false">
      <c r="A1153" s="148" t="n">
        <v>41045</v>
      </c>
      <c r="B1153" s="37" t="n">
        <v>399.864807128906</v>
      </c>
    </row>
    <row r="1154" customFormat="false" ht="15" hidden="false" customHeight="false" outlineLevel="0" collapsed="false">
      <c r="A1154" s="148" t="n">
        <v>41046</v>
      </c>
      <c r="B1154" s="37" t="n">
        <v>419.858062744141</v>
      </c>
    </row>
    <row r="1155" customFormat="false" ht="15" hidden="false" customHeight="false" outlineLevel="0" collapsed="false">
      <c r="A1155" s="148" t="n">
        <v>41047</v>
      </c>
      <c r="B1155" s="37" t="n">
        <v>409.861450195313</v>
      </c>
    </row>
    <row r="1156" customFormat="false" ht="15" hidden="false" customHeight="false" outlineLevel="0" collapsed="false">
      <c r="A1156" s="148" t="n">
        <v>41050</v>
      </c>
      <c r="B1156" s="37" t="n">
        <v>399.864807128906</v>
      </c>
    </row>
    <row r="1157" customFormat="false" ht="15" hidden="false" customHeight="false" outlineLevel="0" collapsed="false">
      <c r="A1157" s="148" t="n">
        <v>41051</v>
      </c>
      <c r="B1157" s="37" t="n">
        <v>398.865173339844</v>
      </c>
    </row>
    <row r="1158" customFormat="false" ht="15" hidden="false" customHeight="false" outlineLevel="0" collapsed="false">
      <c r="A1158" s="148" t="n">
        <v>41052</v>
      </c>
      <c r="B1158" s="37" t="n">
        <v>384.869903564453</v>
      </c>
    </row>
    <row r="1159" customFormat="false" ht="15" hidden="false" customHeight="false" outlineLevel="0" collapsed="false">
      <c r="A1159" s="148" t="n">
        <v>41053</v>
      </c>
      <c r="B1159" s="37" t="n">
        <v>374.873260498047</v>
      </c>
    </row>
    <row r="1160" customFormat="false" ht="15" hidden="false" customHeight="false" outlineLevel="0" collapsed="false">
      <c r="A1160" s="148" t="n">
        <v>41054</v>
      </c>
      <c r="B1160" s="37" t="n">
        <v>384.869903564453</v>
      </c>
    </row>
    <row r="1161" customFormat="false" ht="15" hidden="false" customHeight="false" outlineLevel="0" collapsed="false">
      <c r="A1161" s="148" t="n">
        <v>41057</v>
      </c>
      <c r="B1161" s="37" t="n">
        <v>408.861785888672</v>
      </c>
    </row>
    <row r="1162" customFormat="false" ht="15" hidden="false" customHeight="false" outlineLevel="0" collapsed="false">
      <c r="A1162" s="148" t="n">
        <v>41058</v>
      </c>
      <c r="B1162" s="37" t="n">
        <v>409.861450195313</v>
      </c>
    </row>
    <row r="1163" customFormat="false" ht="15" hidden="false" customHeight="false" outlineLevel="0" collapsed="false">
      <c r="A1163" s="148" t="n">
        <v>41059</v>
      </c>
      <c r="B1163" s="37" t="n">
        <v>409.861450195313</v>
      </c>
    </row>
    <row r="1164" customFormat="false" ht="15" hidden="false" customHeight="false" outlineLevel="0" collapsed="false">
      <c r="A1164" s="148" t="n">
        <v>41060</v>
      </c>
      <c r="B1164" s="37" t="n">
        <v>399.864807128906</v>
      </c>
    </row>
    <row r="1165" customFormat="false" ht="15" hidden="false" customHeight="false" outlineLevel="0" collapsed="false">
      <c r="A1165" s="148" t="n">
        <v>41061</v>
      </c>
      <c r="B1165" s="37" t="n">
        <v>404.863159179688</v>
      </c>
    </row>
    <row r="1166" customFormat="false" ht="15" hidden="false" customHeight="false" outlineLevel="0" collapsed="false">
      <c r="A1166" s="148" t="n">
        <v>41064</v>
      </c>
      <c r="B1166" s="37" t="n">
        <v>399.864807128906</v>
      </c>
    </row>
    <row r="1167" customFormat="false" ht="15" hidden="false" customHeight="false" outlineLevel="0" collapsed="false">
      <c r="A1167" s="148" t="n">
        <v>41065</v>
      </c>
      <c r="B1167" s="37" t="n">
        <v>394.866516113281</v>
      </c>
    </row>
    <row r="1168" customFormat="false" ht="15" hidden="false" customHeight="false" outlineLevel="0" collapsed="false">
      <c r="A1168" s="148" t="n">
        <v>41066</v>
      </c>
      <c r="B1168" s="37" t="n">
        <v>419.858062744141</v>
      </c>
    </row>
    <row r="1169" customFormat="false" ht="15" hidden="false" customHeight="false" outlineLevel="0" collapsed="false">
      <c r="A1169" s="148" t="n">
        <v>41067</v>
      </c>
      <c r="B1169" s="37" t="n">
        <v>414.859741210938</v>
      </c>
    </row>
    <row r="1170" customFormat="false" ht="15" hidden="false" customHeight="false" outlineLevel="0" collapsed="false">
      <c r="A1170" s="148" t="n">
        <v>41068</v>
      </c>
      <c r="B1170" s="37" t="n">
        <v>414.859741210938</v>
      </c>
    </row>
    <row r="1171" customFormat="false" ht="15" hidden="false" customHeight="false" outlineLevel="0" collapsed="false">
      <c r="A1171" s="148" t="n">
        <v>41071</v>
      </c>
      <c r="B1171" s="37" t="n">
        <v>419.858062744141</v>
      </c>
    </row>
    <row r="1172" customFormat="false" ht="15" hidden="false" customHeight="false" outlineLevel="0" collapsed="false">
      <c r="A1172" s="148" t="n">
        <v>41072</v>
      </c>
      <c r="B1172" s="37" t="n">
        <v>419.858062744141</v>
      </c>
    </row>
    <row r="1173" customFormat="false" ht="15" hidden="false" customHeight="false" outlineLevel="0" collapsed="false">
      <c r="A1173" s="148" t="n">
        <v>41073</v>
      </c>
      <c r="B1173" s="37" t="n">
        <v>409.861450195313</v>
      </c>
    </row>
    <row r="1174" customFormat="false" ht="15" hidden="false" customHeight="false" outlineLevel="0" collapsed="false">
      <c r="A1174" s="148" t="n">
        <v>41074</v>
      </c>
      <c r="B1174" s="37" t="n">
        <v>404.863159179688</v>
      </c>
    </row>
    <row r="1175" customFormat="false" ht="15" hidden="false" customHeight="false" outlineLevel="0" collapsed="false">
      <c r="A1175" s="148" t="n">
        <v>41075</v>
      </c>
      <c r="B1175" s="37" t="n">
        <v>404.863159179688</v>
      </c>
    </row>
    <row r="1176" customFormat="false" ht="15" hidden="false" customHeight="false" outlineLevel="0" collapsed="false">
      <c r="A1176" s="148" t="n">
        <v>41078</v>
      </c>
      <c r="B1176" s="37" t="n">
        <v>409.861450195313</v>
      </c>
    </row>
    <row r="1177" customFormat="false" ht="15" hidden="false" customHeight="false" outlineLevel="0" collapsed="false">
      <c r="A1177" s="148" t="n">
        <v>41079</v>
      </c>
      <c r="B1177" s="37" t="n">
        <v>407.862121582031</v>
      </c>
    </row>
    <row r="1178" customFormat="false" ht="15" hidden="false" customHeight="false" outlineLevel="0" collapsed="false">
      <c r="A1178" s="148" t="n">
        <v>41080</v>
      </c>
      <c r="B1178" s="37" t="n">
        <v>409.861450195313</v>
      </c>
    </row>
    <row r="1179" customFormat="false" ht="15" hidden="false" customHeight="false" outlineLevel="0" collapsed="false">
      <c r="A1179" s="148" t="n">
        <v>41081</v>
      </c>
      <c r="B1179" s="37" t="n">
        <v>399.864807128906</v>
      </c>
    </row>
    <row r="1180" customFormat="false" ht="15" hidden="false" customHeight="false" outlineLevel="0" collapsed="false">
      <c r="A1180" s="148" t="n">
        <v>41082</v>
      </c>
      <c r="B1180" s="37" t="n">
        <v>404.863159179688</v>
      </c>
    </row>
    <row r="1181" customFormat="false" ht="15" hidden="false" customHeight="false" outlineLevel="0" collapsed="false">
      <c r="A1181" s="148" t="n">
        <v>41085</v>
      </c>
      <c r="B1181" s="37" t="n">
        <v>409.861450195313</v>
      </c>
    </row>
    <row r="1182" customFormat="false" ht="15" hidden="false" customHeight="false" outlineLevel="0" collapsed="false">
      <c r="A1182" s="148" t="n">
        <v>41086</v>
      </c>
      <c r="B1182" s="37" t="n">
        <v>409.861450195313</v>
      </c>
    </row>
    <row r="1183" customFormat="false" ht="15" hidden="false" customHeight="false" outlineLevel="0" collapsed="false">
      <c r="A1183" s="148" t="n">
        <v>41087</v>
      </c>
      <c r="B1183" s="37" t="n">
        <v>389.868194580078</v>
      </c>
    </row>
    <row r="1184" customFormat="false" ht="15" hidden="false" customHeight="false" outlineLevel="0" collapsed="false">
      <c r="A1184" s="148" t="n">
        <v>41088</v>
      </c>
      <c r="B1184" s="37" t="n">
        <v>399.864807128906</v>
      </c>
    </row>
    <row r="1185" customFormat="false" ht="15" hidden="false" customHeight="false" outlineLevel="0" collapsed="false">
      <c r="A1185" s="148" t="n">
        <v>41089</v>
      </c>
      <c r="B1185" s="37" t="n">
        <v>399.864807128906</v>
      </c>
    </row>
    <row r="1186" customFormat="false" ht="15" hidden="false" customHeight="false" outlineLevel="0" collapsed="false">
      <c r="A1186" s="148" t="n">
        <v>41092</v>
      </c>
      <c r="B1186" s="37" t="n">
        <v>399.864807128906</v>
      </c>
    </row>
    <row r="1187" customFormat="false" ht="15" hidden="false" customHeight="false" outlineLevel="0" collapsed="false">
      <c r="A1187" s="148" t="n">
        <v>41093</v>
      </c>
      <c r="B1187" s="37" t="n">
        <v>399.864807128906</v>
      </c>
    </row>
    <row r="1188" customFormat="false" ht="15" hidden="false" customHeight="false" outlineLevel="0" collapsed="false">
      <c r="A1188" s="148" t="n">
        <v>41094</v>
      </c>
      <c r="B1188" s="37" t="n">
        <v>384.869903564453</v>
      </c>
    </row>
    <row r="1189" customFormat="false" ht="15" hidden="false" customHeight="false" outlineLevel="0" collapsed="false">
      <c r="A1189" s="148" t="n">
        <v>41095</v>
      </c>
      <c r="B1189" s="37" t="n">
        <v>394.866516113281</v>
      </c>
    </row>
    <row r="1190" customFormat="false" ht="15" hidden="false" customHeight="false" outlineLevel="0" collapsed="false">
      <c r="A1190" s="148" t="n">
        <v>41096</v>
      </c>
      <c r="B1190" s="37" t="n">
        <v>397.865509033203</v>
      </c>
    </row>
    <row r="1191" customFormat="false" ht="15" hidden="false" customHeight="false" outlineLevel="0" collapsed="false">
      <c r="A1191" s="148" t="n">
        <v>41099</v>
      </c>
      <c r="B1191" s="37" t="n">
        <v>401.864135742188</v>
      </c>
    </row>
    <row r="1192" customFormat="false" ht="15" hidden="false" customHeight="false" outlineLevel="0" collapsed="false">
      <c r="A1192" s="148" t="n">
        <v>41100</v>
      </c>
      <c r="B1192" s="37" t="n">
        <v>389.868194580078</v>
      </c>
    </row>
    <row r="1193" customFormat="false" ht="15" hidden="false" customHeight="false" outlineLevel="0" collapsed="false">
      <c r="A1193" s="148" t="n">
        <v>41101</v>
      </c>
      <c r="B1193" s="37" t="n">
        <v>389.868194580078</v>
      </c>
    </row>
    <row r="1194" customFormat="false" ht="15" hidden="false" customHeight="false" outlineLevel="0" collapsed="false">
      <c r="A1194" s="148" t="n">
        <v>41102</v>
      </c>
      <c r="B1194" s="37" t="n">
        <v>384.869903564453</v>
      </c>
    </row>
    <row r="1195" customFormat="false" ht="15" hidden="false" customHeight="false" outlineLevel="0" collapsed="false">
      <c r="A1195" s="148" t="n">
        <v>41103</v>
      </c>
      <c r="B1195" s="37" t="n">
        <v>384.869903564453</v>
      </c>
    </row>
    <row r="1196" customFormat="false" ht="15" hidden="false" customHeight="false" outlineLevel="0" collapsed="false">
      <c r="A1196" s="148" t="n">
        <v>41106</v>
      </c>
      <c r="B1196" s="37" t="n">
        <v>379.87158203125</v>
      </c>
    </row>
    <row r="1197" customFormat="false" ht="15" hidden="false" customHeight="false" outlineLevel="0" collapsed="false">
      <c r="A1197" s="148" t="n">
        <v>41107</v>
      </c>
      <c r="B1197" s="37" t="n">
        <v>389.868194580078</v>
      </c>
    </row>
    <row r="1198" customFormat="false" ht="15" hidden="false" customHeight="false" outlineLevel="0" collapsed="false">
      <c r="A1198" s="148" t="n">
        <v>41108</v>
      </c>
      <c r="B1198" s="37" t="n">
        <v>399.864807128906</v>
      </c>
    </row>
    <row r="1199" customFormat="false" ht="15" hidden="false" customHeight="false" outlineLevel="0" collapsed="false">
      <c r="A1199" s="148" t="n">
        <v>41109</v>
      </c>
      <c r="B1199" s="37" t="n">
        <v>379.87158203125</v>
      </c>
    </row>
    <row r="1200" customFormat="false" ht="15" hidden="false" customHeight="false" outlineLevel="0" collapsed="false">
      <c r="A1200" s="148" t="n">
        <v>41110</v>
      </c>
      <c r="B1200" s="37" t="n">
        <v>389.868194580078</v>
      </c>
    </row>
    <row r="1201" customFormat="false" ht="15" hidden="false" customHeight="false" outlineLevel="0" collapsed="false">
      <c r="A1201" s="148" t="n">
        <v>41113</v>
      </c>
      <c r="B1201" s="37" t="n">
        <v>399.864807128906</v>
      </c>
    </row>
    <row r="1202" customFormat="false" ht="15" hidden="false" customHeight="false" outlineLevel="0" collapsed="false">
      <c r="A1202" s="148" t="n">
        <v>41114</v>
      </c>
      <c r="B1202" s="37" t="n">
        <v>434.852996826172</v>
      </c>
    </row>
    <row r="1203" customFormat="false" ht="15" hidden="false" customHeight="false" outlineLevel="0" collapsed="false">
      <c r="A1203" s="148" t="n">
        <v>41115</v>
      </c>
      <c r="B1203" s="37" t="n">
        <v>429.854675292969</v>
      </c>
    </row>
    <row r="1204" customFormat="false" ht="15" hidden="false" customHeight="false" outlineLevel="0" collapsed="false">
      <c r="A1204" s="148" t="n">
        <v>41116</v>
      </c>
      <c r="B1204" s="37" t="n">
        <v>424.856384277344</v>
      </c>
    </row>
    <row r="1205" customFormat="false" ht="15" hidden="false" customHeight="false" outlineLevel="0" collapsed="false">
      <c r="A1205" s="148" t="n">
        <v>41117</v>
      </c>
      <c r="B1205" s="37" t="n">
        <v>417.858764648438</v>
      </c>
    </row>
    <row r="1206" customFormat="false" ht="15" hidden="false" customHeight="false" outlineLevel="0" collapsed="false">
      <c r="A1206" s="148" t="n">
        <v>41120</v>
      </c>
      <c r="B1206" s="37" t="n">
        <v>414.859741210938</v>
      </c>
    </row>
    <row r="1207" customFormat="false" ht="15" hidden="false" customHeight="false" outlineLevel="0" collapsed="false">
      <c r="A1207" s="148" t="n">
        <v>41121</v>
      </c>
      <c r="B1207" s="37" t="n">
        <v>409.861450195313</v>
      </c>
    </row>
    <row r="1208" customFormat="false" ht="15" hidden="false" customHeight="false" outlineLevel="0" collapsed="false">
      <c r="A1208" s="148" t="n">
        <v>41122</v>
      </c>
      <c r="B1208" s="37" t="n">
        <v>417.858764648438</v>
      </c>
    </row>
    <row r="1209" customFormat="false" ht="15" hidden="false" customHeight="false" outlineLevel="0" collapsed="false">
      <c r="A1209" s="148" t="n">
        <v>41123</v>
      </c>
      <c r="B1209" s="37" t="n">
        <v>399.864807128906</v>
      </c>
    </row>
    <row r="1210" customFormat="false" ht="15" hidden="false" customHeight="false" outlineLevel="0" collapsed="false">
      <c r="A1210" s="148" t="n">
        <v>41124</v>
      </c>
      <c r="B1210" s="37" t="n">
        <v>413.860107421875</v>
      </c>
    </row>
    <row r="1211" customFormat="false" ht="15" hidden="false" customHeight="false" outlineLevel="0" collapsed="false">
      <c r="A1211" s="148" t="n">
        <v>41127</v>
      </c>
      <c r="B1211" s="37" t="n">
        <v>404.863159179688</v>
      </c>
    </row>
    <row r="1212" customFormat="false" ht="15" hidden="false" customHeight="false" outlineLevel="0" collapsed="false">
      <c r="A1212" s="148" t="n">
        <v>41128</v>
      </c>
      <c r="B1212" s="37" t="n">
        <v>399.864807128906</v>
      </c>
    </row>
    <row r="1213" customFormat="false" ht="15" hidden="false" customHeight="false" outlineLevel="0" collapsed="false">
      <c r="A1213" s="148" t="n">
        <v>41129</v>
      </c>
      <c r="B1213" s="37" t="n">
        <v>409.861450195313</v>
      </c>
    </row>
    <row r="1214" customFormat="false" ht="15" hidden="false" customHeight="false" outlineLevel="0" collapsed="false">
      <c r="A1214" s="148" t="n">
        <v>41130</v>
      </c>
      <c r="B1214" s="37" t="n">
        <v>409.861450195313</v>
      </c>
    </row>
    <row r="1215" customFormat="false" ht="15" hidden="false" customHeight="false" outlineLevel="0" collapsed="false">
      <c r="A1215" s="148" t="n">
        <v>41131</v>
      </c>
      <c r="B1215" s="37" t="n">
        <v>404.863159179688</v>
      </c>
    </row>
    <row r="1216" customFormat="false" ht="15" hidden="false" customHeight="false" outlineLevel="0" collapsed="false">
      <c r="A1216" s="148" t="n">
        <v>41134</v>
      </c>
      <c r="B1216" s="37" t="n">
        <v>408.861785888672</v>
      </c>
    </row>
    <row r="1217" customFormat="false" ht="15" hidden="false" customHeight="false" outlineLevel="0" collapsed="false">
      <c r="A1217" s="148" t="n">
        <v>41135</v>
      </c>
      <c r="B1217" s="37" t="n">
        <v>407.862121582031</v>
      </c>
    </row>
    <row r="1218" customFormat="false" ht="15" hidden="false" customHeight="false" outlineLevel="0" collapsed="false">
      <c r="A1218" s="148" t="n">
        <v>41136</v>
      </c>
      <c r="B1218" s="37" t="n">
        <v>399.864807128906</v>
      </c>
    </row>
    <row r="1219" customFormat="false" ht="15" hidden="false" customHeight="false" outlineLevel="0" collapsed="false">
      <c r="A1219" s="148" t="n">
        <v>41137</v>
      </c>
      <c r="B1219" s="37" t="n">
        <v>399.864807128906</v>
      </c>
    </row>
    <row r="1220" customFormat="false" ht="15" hidden="false" customHeight="false" outlineLevel="0" collapsed="false">
      <c r="A1220" s="148" t="n">
        <v>41138</v>
      </c>
      <c r="B1220" s="37" t="n">
        <v>399.864807128906</v>
      </c>
    </row>
    <row r="1221" customFormat="false" ht="15" hidden="false" customHeight="false" outlineLevel="0" collapsed="false">
      <c r="A1221" s="148" t="n">
        <v>41141</v>
      </c>
      <c r="B1221" s="37" t="n">
        <v>394.866516113281</v>
      </c>
    </row>
    <row r="1222" customFormat="false" ht="15" hidden="false" customHeight="false" outlineLevel="0" collapsed="false">
      <c r="A1222" s="148" t="n">
        <v>41142</v>
      </c>
      <c r="B1222" s="37" t="n">
        <v>399.864807128906</v>
      </c>
    </row>
    <row r="1223" customFormat="false" ht="15" hidden="false" customHeight="false" outlineLevel="0" collapsed="false">
      <c r="A1223" s="148" t="n">
        <v>41143</v>
      </c>
      <c r="B1223" s="37" t="n">
        <v>394.866516113281</v>
      </c>
    </row>
    <row r="1224" customFormat="false" ht="15" hidden="false" customHeight="false" outlineLevel="0" collapsed="false">
      <c r="A1224" s="148" t="n">
        <v>41144</v>
      </c>
      <c r="B1224" s="37" t="n">
        <v>389.868194580078</v>
      </c>
    </row>
    <row r="1225" customFormat="false" ht="15" hidden="false" customHeight="false" outlineLevel="0" collapsed="false">
      <c r="A1225" s="148" t="n">
        <v>41145</v>
      </c>
      <c r="B1225" s="37" t="n">
        <v>399.864807128906</v>
      </c>
    </row>
    <row r="1226" customFormat="false" ht="15" hidden="false" customHeight="false" outlineLevel="0" collapsed="false">
      <c r="A1226" s="148" t="n">
        <v>41148</v>
      </c>
      <c r="B1226" s="37" t="n">
        <v>379.87158203125</v>
      </c>
    </row>
    <row r="1227" customFormat="false" ht="15" hidden="false" customHeight="false" outlineLevel="0" collapsed="false">
      <c r="A1227" s="148" t="n">
        <v>41149</v>
      </c>
      <c r="B1227" s="37" t="n">
        <v>382.870574951172</v>
      </c>
    </row>
    <row r="1228" customFormat="false" ht="15" hidden="false" customHeight="false" outlineLevel="0" collapsed="false">
      <c r="A1228" s="148" t="n">
        <v>41150</v>
      </c>
      <c r="B1228" s="37" t="n">
        <v>394.866516113281</v>
      </c>
    </row>
    <row r="1229" customFormat="false" ht="15" hidden="false" customHeight="false" outlineLevel="0" collapsed="false">
      <c r="A1229" s="148" t="n">
        <v>41151</v>
      </c>
      <c r="B1229" s="37" t="n">
        <v>399.864807128906</v>
      </c>
    </row>
    <row r="1230" customFormat="false" ht="15" hidden="false" customHeight="false" outlineLevel="0" collapsed="false">
      <c r="A1230" s="148" t="n">
        <v>41152</v>
      </c>
      <c r="B1230" s="37" t="n">
        <v>389.868194580078</v>
      </c>
    </row>
    <row r="1231" customFormat="false" ht="15" hidden="false" customHeight="false" outlineLevel="0" collapsed="false">
      <c r="A1231" s="148" t="n">
        <v>41155</v>
      </c>
      <c r="B1231" s="37" t="n">
        <v>409.861450195313</v>
      </c>
    </row>
    <row r="1232" customFormat="false" ht="15" hidden="false" customHeight="false" outlineLevel="0" collapsed="false">
      <c r="A1232" s="148" t="n">
        <v>41156</v>
      </c>
      <c r="B1232" s="37" t="n">
        <v>408.861785888672</v>
      </c>
    </row>
    <row r="1233" customFormat="false" ht="15" hidden="false" customHeight="false" outlineLevel="0" collapsed="false">
      <c r="A1233" s="148" t="n">
        <v>41157</v>
      </c>
      <c r="B1233" s="37" t="n">
        <v>404.863159179688</v>
      </c>
    </row>
    <row r="1234" customFormat="false" ht="15" hidden="false" customHeight="false" outlineLevel="0" collapsed="false">
      <c r="A1234" s="148" t="n">
        <v>41158</v>
      </c>
      <c r="B1234" s="37" t="n">
        <v>409.861450195313</v>
      </c>
    </row>
    <row r="1235" customFormat="false" ht="15" hidden="false" customHeight="false" outlineLevel="0" collapsed="false">
      <c r="A1235" s="148" t="n">
        <v>41159</v>
      </c>
      <c r="B1235" s="37" t="n">
        <v>407.862121582031</v>
      </c>
    </row>
    <row r="1236" customFormat="false" ht="15" hidden="false" customHeight="false" outlineLevel="0" collapsed="false">
      <c r="A1236" s="148" t="n">
        <v>41162</v>
      </c>
      <c r="B1236" s="37" t="n">
        <v>407.862121582031</v>
      </c>
    </row>
    <row r="1237" customFormat="false" ht="15" hidden="false" customHeight="false" outlineLevel="0" collapsed="false">
      <c r="A1237" s="148" t="n">
        <v>41163</v>
      </c>
      <c r="B1237" s="37" t="n">
        <v>408.861785888672</v>
      </c>
    </row>
    <row r="1238" customFormat="false" ht="15" hidden="false" customHeight="false" outlineLevel="0" collapsed="false">
      <c r="A1238" s="148" t="n">
        <v>41164</v>
      </c>
      <c r="B1238" s="37" t="n">
        <v>407.862121582031</v>
      </c>
    </row>
    <row r="1239" customFormat="false" ht="15" hidden="false" customHeight="false" outlineLevel="0" collapsed="false">
      <c r="A1239" s="148" t="n">
        <v>41165</v>
      </c>
      <c r="B1239" s="37" t="n">
        <v>409.861450195313</v>
      </c>
    </row>
    <row r="1240" customFormat="false" ht="15" hidden="false" customHeight="false" outlineLevel="0" collapsed="false">
      <c r="A1240" s="148" t="n">
        <v>41166</v>
      </c>
      <c r="B1240" s="37" t="n">
        <v>408.861785888672</v>
      </c>
    </row>
    <row r="1241" customFormat="false" ht="15" hidden="false" customHeight="false" outlineLevel="0" collapsed="false">
      <c r="A1241" s="148" t="n">
        <v>41169</v>
      </c>
      <c r="B1241" s="37" t="n">
        <v>409.861450195313</v>
      </c>
    </row>
    <row r="1242" customFormat="false" ht="15" hidden="false" customHeight="false" outlineLevel="0" collapsed="false">
      <c r="A1242" s="148" t="n">
        <v>41170</v>
      </c>
      <c r="B1242" s="37" t="n">
        <v>422.857055664063</v>
      </c>
    </row>
    <row r="1243" customFormat="false" ht="15" hidden="false" customHeight="false" outlineLevel="0" collapsed="false">
      <c r="A1243" s="148" t="n">
        <v>41171</v>
      </c>
      <c r="B1243" s="37" t="n">
        <v>424.856384277344</v>
      </c>
    </row>
    <row r="1244" customFormat="false" ht="15" hidden="false" customHeight="false" outlineLevel="0" collapsed="false">
      <c r="A1244" s="148" t="n">
        <v>41172</v>
      </c>
      <c r="B1244" s="37" t="n">
        <v>449.847930908203</v>
      </c>
    </row>
    <row r="1245" customFormat="false" ht="15" hidden="false" customHeight="false" outlineLevel="0" collapsed="false">
      <c r="A1245" s="148" t="n">
        <v>41173</v>
      </c>
      <c r="B1245" s="37" t="n">
        <v>459.844573974609</v>
      </c>
    </row>
    <row r="1246" customFormat="false" ht="15" hidden="false" customHeight="false" outlineLevel="0" collapsed="false">
      <c r="A1246" s="148" t="n">
        <v>41176</v>
      </c>
      <c r="B1246" s="37" t="n">
        <v>459.844573974609</v>
      </c>
    </row>
    <row r="1247" customFormat="false" ht="15" hidden="false" customHeight="false" outlineLevel="0" collapsed="false">
      <c r="A1247" s="148" t="n">
        <v>41177</v>
      </c>
      <c r="B1247" s="37" t="n">
        <v>493.833068847656</v>
      </c>
    </row>
    <row r="1248" customFormat="false" ht="15" hidden="false" customHeight="false" outlineLevel="0" collapsed="false">
      <c r="A1248" s="148" t="n">
        <v>41178</v>
      </c>
      <c r="B1248" s="37" t="n">
        <v>489.834411621094</v>
      </c>
    </row>
    <row r="1249" customFormat="false" ht="15" hidden="false" customHeight="false" outlineLevel="0" collapsed="false">
      <c r="A1249" s="148" t="n">
        <v>41179</v>
      </c>
      <c r="B1249" s="37" t="n">
        <v>479.837799072266</v>
      </c>
    </row>
    <row r="1250" customFormat="false" ht="15" hidden="false" customHeight="false" outlineLevel="0" collapsed="false">
      <c r="A1250" s="148" t="n">
        <v>41180</v>
      </c>
      <c r="B1250" s="37" t="n">
        <v>469.841186523438</v>
      </c>
    </row>
    <row r="1251" customFormat="false" ht="15" hidden="false" customHeight="false" outlineLevel="0" collapsed="false">
      <c r="A1251" s="148" t="n">
        <v>41183</v>
      </c>
      <c r="B1251" s="37" t="n">
        <v>474.839477539063</v>
      </c>
    </row>
    <row r="1252" customFormat="false" ht="15" hidden="false" customHeight="false" outlineLevel="0" collapsed="false">
      <c r="A1252" s="148" t="n">
        <v>41184</v>
      </c>
      <c r="B1252" s="37" t="n">
        <v>473.839813232422</v>
      </c>
    </row>
    <row r="1253" customFormat="false" ht="15" hidden="false" customHeight="false" outlineLevel="0" collapsed="false">
      <c r="A1253" s="148" t="n">
        <v>41185</v>
      </c>
      <c r="B1253" s="37" t="n">
        <v>467.841857910156</v>
      </c>
    </row>
    <row r="1254" customFormat="false" ht="15" hidden="false" customHeight="false" outlineLevel="0" collapsed="false">
      <c r="A1254" s="148" t="n">
        <v>41186</v>
      </c>
      <c r="B1254" s="37" t="n">
        <v>464.842864990234</v>
      </c>
    </row>
    <row r="1255" customFormat="false" ht="15" hidden="false" customHeight="false" outlineLevel="0" collapsed="false">
      <c r="A1255" s="148" t="n">
        <v>41187</v>
      </c>
      <c r="B1255" s="37" t="n">
        <v>463.843200683594</v>
      </c>
    </row>
    <row r="1256" customFormat="false" ht="15" hidden="false" customHeight="false" outlineLevel="0" collapsed="false">
      <c r="A1256" s="148" t="n">
        <v>41190</v>
      </c>
      <c r="B1256" s="37" t="n">
        <v>454.846221923828</v>
      </c>
    </row>
    <row r="1257" customFormat="false" ht="15" hidden="false" customHeight="false" outlineLevel="0" collapsed="false">
      <c r="A1257" s="148" t="n">
        <v>41191</v>
      </c>
      <c r="B1257" s="37" t="n">
        <v>454.846221923828</v>
      </c>
    </row>
    <row r="1258" customFormat="false" ht="15" hidden="false" customHeight="false" outlineLevel="0" collapsed="false">
      <c r="A1258" s="148" t="n">
        <v>41192</v>
      </c>
      <c r="B1258" s="37" t="n">
        <v>464.842864990234</v>
      </c>
    </row>
    <row r="1259" customFormat="false" ht="15" hidden="false" customHeight="false" outlineLevel="0" collapsed="false">
      <c r="A1259" s="148" t="n">
        <v>41193</v>
      </c>
      <c r="B1259" s="37" t="n">
        <v>459.844573974609</v>
      </c>
    </row>
    <row r="1260" customFormat="false" ht="15" hidden="false" customHeight="false" outlineLevel="0" collapsed="false">
      <c r="A1260" s="148" t="n">
        <v>41194</v>
      </c>
      <c r="B1260" s="37" t="n">
        <v>479.837799072266</v>
      </c>
    </row>
    <row r="1261" customFormat="false" ht="15" hidden="false" customHeight="false" outlineLevel="0" collapsed="false">
      <c r="A1261" s="148" t="n">
        <v>41197</v>
      </c>
      <c r="B1261" s="37" t="n">
        <v>499.8310546875</v>
      </c>
    </row>
    <row r="1262" customFormat="false" ht="15" hidden="false" customHeight="false" outlineLevel="0" collapsed="false">
      <c r="A1262" s="148" t="n">
        <v>41198</v>
      </c>
      <c r="B1262" s="37" t="n">
        <v>545.815490722656</v>
      </c>
    </row>
    <row r="1263" customFormat="false" ht="15" hidden="false" customHeight="false" outlineLevel="0" collapsed="false">
      <c r="A1263" s="148" t="n">
        <v>41199</v>
      </c>
      <c r="B1263" s="37" t="n">
        <v>584.802307128906</v>
      </c>
    </row>
    <row r="1264" customFormat="false" ht="15" hidden="false" customHeight="false" outlineLevel="0" collapsed="false">
      <c r="A1264" s="148" t="n">
        <v>41200</v>
      </c>
      <c r="B1264" s="37" t="n">
        <v>598.797546386719</v>
      </c>
    </row>
    <row r="1265" customFormat="false" ht="15" hidden="false" customHeight="false" outlineLevel="0" collapsed="false">
      <c r="A1265" s="148" t="n">
        <v>41201</v>
      </c>
      <c r="B1265" s="37" t="n">
        <v>593.799255371094</v>
      </c>
    </row>
    <row r="1266" customFormat="false" ht="15" hidden="false" customHeight="false" outlineLevel="0" collapsed="false">
      <c r="A1266" s="148" t="n">
        <v>41204</v>
      </c>
      <c r="B1266" s="37" t="n">
        <v>568.807678222656</v>
      </c>
    </row>
    <row r="1267" customFormat="false" ht="15" hidden="false" customHeight="false" outlineLevel="0" collapsed="false">
      <c r="A1267" s="148" t="n">
        <v>41205</v>
      </c>
      <c r="B1267" s="37" t="n">
        <v>540.817199707031</v>
      </c>
    </row>
    <row r="1268" customFormat="false" ht="15" hidden="false" customHeight="false" outlineLevel="0" collapsed="false">
      <c r="A1268" s="148" t="n">
        <v>41206</v>
      </c>
      <c r="B1268" s="37" t="n">
        <v>529.820922851563</v>
      </c>
    </row>
    <row r="1269" customFormat="false" ht="15" hidden="false" customHeight="false" outlineLevel="0" collapsed="false">
      <c r="A1269" s="148" t="n">
        <v>41207</v>
      </c>
      <c r="B1269" s="37" t="n">
        <v>536.818542480469</v>
      </c>
    </row>
    <row r="1270" customFormat="false" ht="15" hidden="false" customHeight="false" outlineLevel="0" collapsed="false">
      <c r="A1270" s="148" t="n">
        <v>41208</v>
      </c>
      <c r="B1270" s="37" t="n">
        <v>569.807434082031</v>
      </c>
    </row>
    <row r="1271" customFormat="false" ht="15" hidden="false" customHeight="false" outlineLevel="0" collapsed="false">
      <c r="A1271" s="148" t="n">
        <v>41211</v>
      </c>
      <c r="B1271" s="37" t="n">
        <v>568.807678222656</v>
      </c>
    </row>
    <row r="1272" customFormat="false" ht="15" hidden="false" customHeight="false" outlineLevel="0" collapsed="false">
      <c r="A1272" s="148" t="n">
        <v>41212</v>
      </c>
      <c r="B1272" s="37" t="n">
        <v>569.807434082031</v>
      </c>
    </row>
    <row r="1273" customFormat="false" ht="15" hidden="false" customHeight="false" outlineLevel="0" collapsed="false">
      <c r="A1273" s="148" t="n">
        <v>41213</v>
      </c>
      <c r="B1273" s="37" t="n">
        <v>573.805969238281</v>
      </c>
    </row>
    <row r="1274" customFormat="false" ht="15" hidden="false" customHeight="false" outlineLevel="0" collapsed="false">
      <c r="A1274" s="148" t="n">
        <v>41214</v>
      </c>
      <c r="B1274" s="37" t="n">
        <v>569.807434082031</v>
      </c>
    </row>
    <row r="1275" customFormat="false" ht="15" hidden="false" customHeight="false" outlineLevel="0" collapsed="false">
      <c r="A1275" s="148" t="n">
        <v>41215</v>
      </c>
      <c r="B1275" s="37" t="n">
        <v>573.805969238281</v>
      </c>
    </row>
    <row r="1276" customFormat="false" ht="15" hidden="false" customHeight="false" outlineLevel="0" collapsed="false">
      <c r="A1276" s="148" t="n">
        <v>41218</v>
      </c>
      <c r="B1276" s="37" t="n">
        <v>576.804992675781</v>
      </c>
    </row>
    <row r="1277" customFormat="false" ht="15" hidden="false" customHeight="false" outlineLevel="0" collapsed="false">
      <c r="A1277" s="148" t="n">
        <v>41219</v>
      </c>
      <c r="B1277" s="37" t="n">
        <v>598.797546386719</v>
      </c>
    </row>
    <row r="1278" customFormat="false" ht="15" hidden="false" customHeight="false" outlineLevel="0" collapsed="false">
      <c r="A1278" s="148" t="n">
        <v>41220</v>
      </c>
      <c r="B1278" s="37" t="n">
        <v>589.800598144531</v>
      </c>
    </row>
    <row r="1279" customFormat="false" ht="15" hidden="false" customHeight="false" outlineLevel="0" collapsed="false">
      <c r="A1279" s="148" t="n">
        <v>41221</v>
      </c>
      <c r="B1279" s="37" t="n">
        <v>583.802673339844</v>
      </c>
    </row>
    <row r="1280" customFormat="false" ht="15" hidden="false" customHeight="false" outlineLevel="0" collapsed="false">
      <c r="A1280" s="148" t="n">
        <v>41222</v>
      </c>
      <c r="B1280" s="37" t="n">
        <v>579.804016113281</v>
      </c>
    </row>
    <row r="1281" customFormat="false" ht="15" hidden="false" customHeight="false" outlineLevel="0" collapsed="false">
      <c r="A1281" s="148" t="n">
        <v>41225</v>
      </c>
      <c r="B1281" s="37" t="n">
        <v>589.800598144531</v>
      </c>
    </row>
    <row r="1282" customFormat="false" ht="15" hidden="false" customHeight="false" outlineLevel="0" collapsed="false">
      <c r="A1282" s="148" t="n">
        <v>41226</v>
      </c>
      <c r="B1282" s="37" t="n">
        <v>584.802307128906</v>
      </c>
    </row>
    <row r="1283" customFormat="false" ht="15" hidden="false" customHeight="false" outlineLevel="0" collapsed="false">
      <c r="A1283" s="148" t="n">
        <v>41227</v>
      </c>
      <c r="B1283" s="37" t="n">
        <v>589.800598144531</v>
      </c>
    </row>
    <row r="1284" customFormat="false" ht="15" hidden="false" customHeight="false" outlineLevel="0" collapsed="false">
      <c r="A1284" s="148" t="n">
        <v>41228</v>
      </c>
      <c r="B1284" s="37" t="n">
        <v>579.804016113281</v>
      </c>
    </row>
    <row r="1285" customFormat="false" ht="15" hidden="false" customHeight="false" outlineLevel="0" collapsed="false">
      <c r="A1285" s="148" t="n">
        <v>41229</v>
      </c>
      <c r="B1285" s="37" t="n">
        <v>574.805725097656</v>
      </c>
    </row>
    <row r="1286" customFormat="false" ht="15" hidden="false" customHeight="false" outlineLevel="0" collapsed="false">
      <c r="A1286" s="148" t="n">
        <v>41232</v>
      </c>
      <c r="B1286" s="37" t="n">
        <v>574.805725097656</v>
      </c>
    </row>
    <row r="1287" customFormat="false" ht="15" hidden="false" customHeight="false" outlineLevel="0" collapsed="false">
      <c r="A1287" s="148" t="n">
        <v>41233</v>
      </c>
      <c r="B1287" s="37" t="n">
        <v>579.804016113281</v>
      </c>
    </row>
    <row r="1288" customFormat="false" ht="15" hidden="false" customHeight="false" outlineLevel="0" collapsed="false">
      <c r="A1288" s="148" t="n">
        <v>41234</v>
      </c>
      <c r="B1288" s="37" t="n">
        <v>579.804016113281</v>
      </c>
    </row>
    <row r="1289" customFormat="false" ht="15" hidden="false" customHeight="false" outlineLevel="0" collapsed="false">
      <c r="A1289" s="148" t="n">
        <v>41235</v>
      </c>
      <c r="B1289" s="37" t="n">
        <v>579.804016113281</v>
      </c>
    </row>
    <row r="1290" customFormat="false" ht="15" hidden="false" customHeight="false" outlineLevel="0" collapsed="false">
      <c r="A1290" s="148" t="n">
        <v>41236</v>
      </c>
      <c r="B1290" s="37" t="n">
        <v>584.802307128906</v>
      </c>
    </row>
    <row r="1291" customFormat="false" ht="15" hidden="false" customHeight="false" outlineLevel="0" collapsed="false">
      <c r="A1291" s="148" t="n">
        <v>41239</v>
      </c>
      <c r="B1291" s="37" t="n">
        <v>574.805725097656</v>
      </c>
    </row>
    <row r="1292" customFormat="false" ht="15" hidden="false" customHeight="false" outlineLevel="0" collapsed="false">
      <c r="A1292" s="148" t="n">
        <v>41240</v>
      </c>
      <c r="B1292" s="37" t="n">
        <v>569.807434082031</v>
      </c>
    </row>
    <row r="1293" customFormat="false" ht="15" hidden="false" customHeight="false" outlineLevel="0" collapsed="false">
      <c r="A1293" s="148" t="n">
        <v>41241</v>
      </c>
      <c r="B1293" s="37" t="n">
        <v>569.807434082031</v>
      </c>
    </row>
    <row r="1294" customFormat="false" ht="15" hidden="false" customHeight="false" outlineLevel="0" collapsed="false">
      <c r="A1294" s="148" t="n">
        <v>41242</v>
      </c>
      <c r="B1294" s="37" t="n">
        <v>551.8134765625</v>
      </c>
    </row>
    <row r="1295" customFormat="false" ht="15" hidden="false" customHeight="false" outlineLevel="0" collapsed="false">
      <c r="A1295" s="148" t="n">
        <v>41243</v>
      </c>
      <c r="B1295" s="37" t="n">
        <v>569.807434082031</v>
      </c>
    </row>
    <row r="1296" customFormat="false" ht="15" hidden="false" customHeight="false" outlineLevel="0" collapsed="false">
      <c r="A1296" s="148" t="n">
        <v>41246</v>
      </c>
      <c r="B1296" s="37" t="n">
        <v>574.805725097656</v>
      </c>
    </row>
    <row r="1297" customFormat="false" ht="15" hidden="false" customHeight="false" outlineLevel="0" collapsed="false">
      <c r="A1297" s="148" t="n">
        <v>41247</v>
      </c>
      <c r="B1297" s="37" t="n">
        <v>564.809020996094</v>
      </c>
    </row>
    <row r="1298" customFormat="false" ht="15" hidden="false" customHeight="false" outlineLevel="0" collapsed="false">
      <c r="A1298" s="148" t="n">
        <v>41248</v>
      </c>
      <c r="B1298" s="37" t="n">
        <v>569.807434082031</v>
      </c>
    </row>
    <row r="1299" customFormat="false" ht="15" hidden="false" customHeight="false" outlineLevel="0" collapsed="false">
      <c r="A1299" s="148" t="n">
        <v>41249</v>
      </c>
      <c r="B1299" s="37" t="n">
        <v>569.807434082031</v>
      </c>
    </row>
    <row r="1300" customFormat="false" ht="15" hidden="false" customHeight="false" outlineLevel="0" collapsed="false">
      <c r="A1300" s="148" t="n">
        <v>41250</v>
      </c>
      <c r="B1300" s="37" t="n">
        <v>549.814147949219</v>
      </c>
    </row>
    <row r="1301" customFormat="false" ht="15" hidden="false" customHeight="false" outlineLevel="0" collapsed="false">
      <c r="A1301" s="148" t="n">
        <v>41253</v>
      </c>
      <c r="B1301" s="37" t="n">
        <v>538.81787109375</v>
      </c>
    </row>
    <row r="1302" customFormat="false" ht="15" hidden="false" customHeight="false" outlineLevel="0" collapsed="false">
      <c r="A1302" s="148" t="n">
        <v>41254</v>
      </c>
      <c r="B1302" s="37" t="n">
        <v>524.822570800781</v>
      </c>
    </row>
    <row r="1303" customFormat="false" ht="15" hidden="false" customHeight="false" outlineLevel="0" collapsed="false">
      <c r="A1303" s="148" t="n">
        <v>41255</v>
      </c>
      <c r="B1303" s="37" t="n">
        <v>518.824584960938</v>
      </c>
    </row>
    <row r="1304" customFormat="false" ht="15" hidden="false" customHeight="false" outlineLevel="0" collapsed="false">
      <c r="A1304" s="148" t="n">
        <v>41256</v>
      </c>
      <c r="B1304" s="37" t="n">
        <v>517.824951171875</v>
      </c>
    </row>
    <row r="1305" customFormat="false" ht="15" hidden="false" customHeight="false" outlineLevel="0" collapsed="false">
      <c r="A1305" s="148" t="n">
        <v>41257</v>
      </c>
      <c r="B1305" s="37" t="n">
        <v>509.827667236328</v>
      </c>
    </row>
    <row r="1306" customFormat="false" ht="15" hidden="false" customHeight="false" outlineLevel="0" collapsed="false">
      <c r="A1306" s="148" t="n">
        <v>41260</v>
      </c>
      <c r="B1306" s="37" t="n">
        <v>509.827667236328</v>
      </c>
    </row>
    <row r="1307" customFormat="false" ht="15" hidden="false" customHeight="false" outlineLevel="0" collapsed="false">
      <c r="A1307" s="148" t="n">
        <v>41261</v>
      </c>
      <c r="B1307" s="37" t="n">
        <v>513.826293945313</v>
      </c>
    </row>
    <row r="1308" customFormat="false" ht="15" hidden="false" customHeight="false" outlineLevel="0" collapsed="false">
      <c r="A1308" s="148" t="n">
        <v>41262</v>
      </c>
      <c r="B1308" s="37" t="n">
        <v>554.812438964844</v>
      </c>
    </row>
    <row r="1309" customFormat="false" ht="15" hidden="false" customHeight="false" outlineLevel="0" collapsed="false">
      <c r="A1309" s="148" t="n">
        <v>41263</v>
      </c>
      <c r="B1309" s="37" t="n">
        <v>559.810729980469</v>
      </c>
    </row>
    <row r="1310" customFormat="false" ht="15" hidden="false" customHeight="false" outlineLevel="0" collapsed="false">
      <c r="A1310" s="148" t="n">
        <v>41264</v>
      </c>
      <c r="B1310" s="37" t="n">
        <v>559.810729980469</v>
      </c>
    </row>
    <row r="1311" customFormat="false" ht="15" hidden="false" customHeight="false" outlineLevel="0" collapsed="false">
      <c r="A1311" s="148" t="n">
        <v>41267</v>
      </c>
      <c r="B1311" s="37" t="n">
        <v>559.810729980469</v>
      </c>
    </row>
    <row r="1312" customFormat="false" ht="15" hidden="false" customHeight="false" outlineLevel="0" collapsed="false">
      <c r="A1312" s="148" t="n">
        <v>41268</v>
      </c>
      <c r="B1312" s="37" t="n">
        <v>559.810729980469</v>
      </c>
    </row>
    <row r="1313" customFormat="false" ht="15" hidden="false" customHeight="false" outlineLevel="0" collapsed="false">
      <c r="A1313" s="148" t="n">
        <v>41269</v>
      </c>
      <c r="B1313" s="37" t="n">
        <v>559.810729980469</v>
      </c>
    </row>
    <row r="1314" customFormat="false" ht="15" hidden="false" customHeight="false" outlineLevel="0" collapsed="false">
      <c r="A1314" s="148" t="n">
        <v>41270</v>
      </c>
      <c r="B1314" s="37" t="n">
        <v>559.810729980469</v>
      </c>
    </row>
    <row r="1315" customFormat="false" ht="15" hidden="false" customHeight="false" outlineLevel="0" collapsed="false">
      <c r="A1315" s="148" t="n">
        <v>41271</v>
      </c>
      <c r="B1315" s="37" t="n">
        <v>559.810729980469</v>
      </c>
    </row>
    <row r="1316" customFormat="false" ht="15" hidden="false" customHeight="false" outlineLevel="0" collapsed="false">
      <c r="A1316" s="148" t="n">
        <v>41274</v>
      </c>
      <c r="B1316" s="37" t="n">
        <v>559.810729980469</v>
      </c>
    </row>
    <row r="1317" customFormat="false" ht="15" hidden="false" customHeight="false" outlineLevel="0" collapsed="false">
      <c r="A1317" s="148" t="n">
        <v>41275</v>
      </c>
      <c r="B1317" s="37" t="n">
        <v>559.810729980469</v>
      </c>
    </row>
    <row r="1318" customFormat="false" ht="15" hidden="false" customHeight="false" outlineLevel="0" collapsed="false">
      <c r="A1318" s="148" t="n">
        <v>41276</v>
      </c>
      <c r="B1318" s="37" t="n">
        <v>554.812438964844</v>
      </c>
    </row>
    <row r="1319" customFormat="false" ht="15" hidden="false" customHeight="false" outlineLevel="0" collapsed="false">
      <c r="A1319" s="148" t="n">
        <v>41277</v>
      </c>
      <c r="B1319" s="37" t="n">
        <v>544.815856933594</v>
      </c>
    </row>
    <row r="1320" customFormat="false" ht="15" hidden="false" customHeight="false" outlineLevel="0" collapsed="false">
      <c r="A1320" s="148" t="n">
        <v>41278</v>
      </c>
      <c r="B1320" s="37" t="n">
        <v>554.812438964844</v>
      </c>
    </row>
    <row r="1321" customFormat="false" ht="15" hidden="false" customHeight="false" outlineLevel="0" collapsed="false">
      <c r="A1321" s="148" t="n">
        <v>41281</v>
      </c>
      <c r="B1321" s="37" t="n">
        <v>554.812438964844</v>
      </c>
    </row>
    <row r="1322" customFormat="false" ht="15" hidden="false" customHeight="false" outlineLevel="0" collapsed="false">
      <c r="A1322" s="148" t="n">
        <v>41282</v>
      </c>
      <c r="B1322" s="37" t="n">
        <v>553.812805175781</v>
      </c>
    </row>
    <row r="1323" customFormat="false" ht="15" hidden="false" customHeight="false" outlineLevel="0" collapsed="false">
      <c r="A1323" s="148" t="n">
        <v>41283</v>
      </c>
      <c r="B1323" s="37" t="n">
        <v>548.814514160156</v>
      </c>
    </row>
    <row r="1324" customFormat="false" ht="15" hidden="false" customHeight="false" outlineLevel="0" collapsed="false">
      <c r="A1324" s="148" t="n">
        <v>41284</v>
      </c>
      <c r="B1324" s="37" t="n">
        <v>534.819213867188</v>
      </c>
    </row>
    <row r="1325" customFormat="false" ht="15" hidden="false" customHeight="false" outlineLevel="0" collapsed="false">
      <c r="A1325" s="148" t="n">
        <v>41285</v>
      </c>
      <c r="B1325" s="37" t="n">
        <v>534.819213867188</v>
      </c>
    </row>
    <row r="1326" customFormat="false" ht="15" hidden="false" customHeight="false" outlineLevel="0" collapsed="false">
      <c r="A1326" s="148" t="n">
        <v>41288</v>
      </c>
      <c r="B1326" s="37" t="n">
        <v>528.821228027344</v>
      </c>
    </row>
    <row r="1327" customFormat="false" ht="15" hidden="false" customHeight="false" outlineLevel="0" collapsed="false">
      <c r="A1327" s="148" t="n">
        <v>41289</v>
      </c>
      <c r="B1327" s="37" t="n">
        <v>528.821228027344</v>
      </c>
    </row>
    <row r="1328" customFormat="false" ht="15" hidden="false" customHeight="false" outlineLevel="0" collapsed="false">
      <c r="A1328" s="148" t="n">
        <v>41290</v>
      </c>
      <c r="B1328" s="37" t="n">
        <v>519.824279785156</v>
      </c>
    </row>
    <row r="1329" customFormat="false" ht="15" hidden="false" customHeight="false" outlineLevel="0" collapsed="false">
      <c r="A1329" s="148" t="n">
        <v>41291</v>
      </c>
      <c r="B1329" s="37" t="n">
        <v>519.824279785156</v>
      </c>
    </row>
    <row r="1330" customFormat="false" ht="15" hidden="false" customHeight="false" outlineLevel="0" collapsed="false">
      <c r="A1330" s="148" t="n">
        <v>41292</v>
      </c>
      <c r="B1330" s="37" t="n">
        <v>554.812438964844</v>
      </c>
    </row>
    <row r="1331" customFormat="false" ht="15" hidden="false" customHeight="false" outlineLevel="0" collapsed="false">
      <c r="A1331" s="148" t="n">
        <v>41295</v>
      </c>
      <c r="B1331" s="37" t="n">
        <v>544.815856933594</v>
      </c>
    </row>
    <row r="1332" customFormat="false" ht="15" hidden="false" customHeight="false" outlineLevel="0" collapsed="false">
      <c r="A1332" s="148" t="n">
        <v>41296</v>
      </c>
      <c r="B1332" s="37" t="n">
        <v>544.815856933594</v>
      </c>
    </row>
    <row r="1333" customFormat="false" ht="15" hidden="false" customHeight="false" outlineLevel="0" collapsed="false">
      <c r="A1333" s="148" t="n">
        <v>41297</v>
      </c>
      <c r="B1333" s="37" t="n">
        <v>524.822570800781</v>
      </c>
    </row>
    <row r="1334" customFormat="false" ht="15" hidden="false" customHeight="false" outlineLevel="0" collapsed="false">
      <c r="A1334" s="148" t="n">
        <v>41298</v>
      </c>
      <c r="B1334" s="37" t="n">
        <v>524.822570800781</v>
      </c>
    </row>
    <row r="1335" customFormat="false" ht="15" hidden="false" customHeight="false" outlineLevel="0" collapsed="false">
      <c r="A1335" s="148" t="n">
        <v>41299</v>
      </c>
      <c r="B1335" s="37" t="n">
        <v>519.824279785156</v>
      </c>
    </row>
    <row r="1336" customFormat="false" ht="15" hidden="false" customHeight="false" outlineLevel="0" collapsed="false">
      <c r="A1336" s="148" t="n">
        <v>41302</v>
      </c>
      <c r="B1336" s="37" t="n">
        <v>509.827667236328</v>
      </c>
    </row>
    <row r="1337" customFormat="false" ht="15" hidden="false" customHeight="false" outlineLevel="0" collapsed="false">
      <c r="A1337" s="148" t="n">
        <v>41303</v>
      </c>
      <c r="B1337" s="37" t="n">
        <v>499.8310546875</v>
      </c>
    </row>
    <row r="1338" customFormat="false" ht="15" hidden="false" customHeight="false" outlineLevel="0" collapsed="false">
      <c r="A1338" s="148" t="n">
        <v>41304</v>
      </c>
      <c r="B1338" s="37" t="n">
        <v>509.827667236328</v>
      </c>
    </row>
    <row r="1339" customFormat="false" ht="15" hidden="false" customHeight="false" outlineLevel="0" collapsed="false">
      <c r="A1339" s="148" t="n">
        <v>41305</v>
      </c>
      <c r="B1339" s="37" t="n">
        <v>516.825317382813</v>
      </c>
    </row>
    <row r="1340" customFormat="false" ht="15" hidden="false" customHeight="false" outlineLevel="0" collapsed="false">
      <c r="A1340" s="148" t="n">
        <v>41306</v>
      </c>
      <c r="B1340" s="37" t="n">
        <v>538.81787109375</v>
      </c>
    </row>
    <row r="1341" customFormat="false" ht="15" hidden="false" customHeight="false" outlineLevel="0" collapsed="false">
      <c r="A1341" s="148" t="n">
        <v>41309</v>
      </c>
      <c r="B1341" s="37" t="n">
        <v>534.819213867188</v>
      </c>
    </row>
    <row r="1342" customFormat="false" ht="15" hidden="false" customHeight="false" outlineLevel="0" collapsed="false">
      <c r="A1342" s="148" t="n">
        <v>41310</v>
      </c>
      <c r="B1342" s="37" t="n">
        <v>532.819885253906</v>
      </c>
    </row>
    <row r="1343" customFormat="false" ht="15" hidden="false" customHeight="false" outlineLevel="0" collapsed="false">
      <c r="A1343" s="148" t="n">
        <v>41311</v>
      </c>
      <c r="B1343" s="37" t="n">
        <v>524.822570800781</v>
      </c>
    </row>
    <row r="1344" customFormat="false" ht="15" hidden="false" customHeight="false" outlineLevel="0" collapsed="false">
      <c r="A1344" s="148" t="n">
        <v>41312</v>
      </c>
      <c r="B1344" s="37" t="n">
        <v>519.824279785156</v>
      </c>
    </row>
    <row r="1345" customFormat="false" ht="15" hidden="false" customHeight="false" outlineLevel="0" collapsed="false">
      <c r="A1345" s="148" t="n">
        <v>41313</v>
      </c>
      <c r="B1345" s="37" t="n">
        <v>524.822570800781</v>
      </c>
    </row>
    <row r="1346" customFormat="false" ht="15" hidden="false" customHeight="false" outlineLevel="0" collapsed="false">
      <c r="A1346" s="148" t="n">
        <v>41316</v>
      </c>
      <c r="B1346" s="37" t="n">
        <v>524.822570800781</v>
      </c>
    </row>
    <row r="1347" customFormat="false" ht="15" hidden="false" customHeight="false" outlineLevel="0" collapsed="false">
      <c r="A1347" s="148" t="n">
        <v>41317</v>
      </c>
      <c r="B1347" s="37" t="n">
        <v>509.827667236328</v>
      </c>
    </row>
    <row r="1348" customFormat="false" ht="15" hidden="false" customHeight="false" outlineLevel="0" collapsed="false">
      <c r="A1348" s="148" t="n">
        <v>41318</v>
      </c>
      <c r="B1348" s="37" t="n">
        <v>531.820190429688</v>
      </c>
    </row>
    <row r="1349" customFormat="false" ht="15" hidden="false" customHeight="false" outlineLevel="0" collapsed="false">
      <c r="A1349" s="148" t="n">
        <v>41319</v>
      </c>
      <c r="B1349" s="37" t="n">
        <v>514.825927734375</v>
      </c>
    </row>
    <row r="1350" customFormat="false" ht="15" hidden="false" customHeight="false" outlineLevel="0" collapsed="false">
      <c r="A1350" s="148" t="n">
        <v>41320</v>
      </c>
      <c r="B1350" s="37" t="n">
        <v>514.825927734375</v>
      </c>
    </row>
    <row r="1351" customFormat="false" ht="15" hidden="false" customHeight="false" outlineLevel="0" collapsed="false">
      <c r="A1351" s="148" t="n">
        <v>41323</v>
      </c>
      <c r="B1351" s="37" t="n">
        <v>519.824279785156</v>
      </c>
    </row>
    <row r="1352" customFormat="false" ht="15" hidden="false" customHeight="false" outlineLevel="0" collapsed="false">
      <c r="A1352" s="148" t="n">
        <v>41324</v>
      </c>
      <c r="B1352" s="37" t="n">
        <v>504.829345703125</v>
      </c>
    </row>
    <row r="1353" customFormat="false" ht="15" hidden="false" customHeight="false" outlineLevel="0" collapsed="false">
      <c r="A1353" s="148" t="n">
        <v>41325</v>
      </c>
      <c r="B1353" s="37" t="n">
        <v>509.827667236328</v>
      </c>
    </row>
    <row r="1354" customFormat="false" ht="15" hidden="false" customHeight="false" outlineLevel="0" collapsed="false">
      <c r="A1354" s="148" t="n">
        <v>41326</v>
      </c>
      <c r="B1354" s="37" t="n">
        <v>514.825927734375</v>
      </c>
    </row>
    <row r="1355" customFormat="false" ht="15" hidden="false" customHeight="false" outlineLevel="0" collapsed="false">
      <c r="A1355" s="148" t="n">
        <v>41327</v>
      </c>
      <c r="B1355" s="37" t="n">
        <v>514.825927734375</v>
      </c>
    </row>
    <row r="1356" customFormat="false" ht="15" hidden="false" customHeight="false" outlineLevel="0" collapsed="false">
      <c r="A1356" s="148" t="n">
        <v>41330</v>
      </c>
      <c r="B1356" s="37" t="n">
        <v>518.824584960938</v>
      </c>
    </row>
    <row r="1357" customFormat="false" ht="15" hidden="false" customHeight="false" outlineLevel="0" collapsed="false">
      <c r="A1357" s="148" t="n">
        <v>41331</v>
      </c>
      <c r="B1357" s="37" t="n">
        <v>518.824584960938</v>
      </c>
    </row>
    <row r="1358" customFormat="false" ht="15" hidden="false" customHeight="false" outlineLevel="0" collapsed="false">
      <c r="A1358" s="148" t="n">
        <v>41332</v>
      </c>
      <c r="B1358" s="37" t="n">
        <v>518.824584960938</v>
      </c>
    </row>
    <row r="1359" customFormat="false" ht="15" hidden="false" customHeight="false" outlineLevel="0" collapsed="false">
      <c r="A1359" s="148" t="n">
        <v>41333</v>
      </c>
      <c r="B1359" s="37" t="n">
        <v>513.826293945313</v>
      </c>
    </row>
    <row r="1360" customFormat="false" ht="15" hidden="false" customHeight="false" outlineLevel="0" collapsed="false">
      <c r="A1360" s="148" t="n">
        <v>41334</v>
      </c>
      <c r="B1360" s="37" t="n">
        <v>509.827667236328</v>
      </c>
    </row>
    <row r="1361" customFormat="false" ht="15" hidden="false" customHeight="false" outlineLevel="0" collapsed="false">
      <c r="A1361" s="148" t="n">
        <v>41337</v>
      </c>
      <c r="B1361" s="37" t="n">
        <v>514.825927734375</v>
      </c>
    </row>
    <row r="1362" customFormat="false" ht="15" hidden="false" customHeight="false" outlineLevel="0" collapsed="false">
      <c r="A1362" s="148" t="n">
        <v>41338</v>
      </c>
      <c r="B1362" s="37" t="n">
        <v>519.824279785156</v>
      </c>
    </row>
    <row r="1363" customFormat="false" ht="15" hidden="false" customHeight="false" outlineLevel="0" collapsed="false">
      <c r="A1363" s="148" t="n">
        <v>41339</v>
      </c>
      <c r="B1363" s="37" t="n">
        <v>499.8310546875</v>
      </c>
    </row>
    <row r="1364" customFormat="false" ht="15" hidden="false" customHeight="false" outlineLevel="0" collapsed="false">
      <c r="A1364" s="148" t="n">
        <v>41340</v>
      </c>
      <c r="B1364" s="37" t="n">
        <v>518.824584960938</v>
      </c>
    </row>
    <row r="1365" customFormat="false" ht="15" hidden="false" customHeight="false" outlineLevel="0" collapsed="false">
      <c r="A1365" s="148" t="n">
        <v>41341</v>
      </c>
      <c r="B1365" s="37" t="n">
        <v>514.825927734375</v>
      </c>
    </row>
    <row r="1366" customFormat="false" ht="15" hidden="false" customHeight="false" outlineLevel="0" collapsed="false">
      <c r="A1366" s="148" t="n">
        <v>41344</v>
      </c>
      <c r="B1366" s="37" t="n">
        <v>524.822570800781</v>
      </c>
    </row>
    <row r="1367" customFormat="false" ht="15" hidden="false" customHeight="false" outlineLevel="0" collapsed="false">
      <c r="A1367" s="148" t="n">
        <v>41345</v>
      </c>
      <c r="B1367" s="37" t="n">
        <v>519.824279785156</v>
      </c>
    </row>
    <row r="1368" customFormat="false" ht="15" hidden="false" customHeight="false" outlineLevel="0" collapsed="false">
      <c r="A1368" s="148" t="n">
        <v>41346</v>
      </c>
      <c r="B1368" s="37" t="n">
        <v>519.824279785156</v>
      </c>
    </row>
    <row r="1369" customFormat="false" ht="15" hidden="false" customHeight="false" outlineLevel="0" collapsed="false">
      <c r="A1369" s="148" t="n">
        <v>41347</v>
      </c>
      <c r="B1369" s="37" t="n">
        <v>519.824279785156</v>
      </c>
    </row>
    <row r="1370" customFormat="false" ht="15" hidden="false" customHeight="false" outlineLevel="0" collapsed="false">
      <c r="A1370" s="148" t="n">
        <v>41348</v>
      </c>
      <c r="B1370" s="37" t="n">
        <v>499.8310546875</v>
      </c>
    </row>
    <row r="1371" customFormat="false" ht="15" hidden="false" customHeight="false" outlineLevel="0" collapsed="false">
      <c r="A1371" s="148" t="n">
        <v>41351</v>
      </c>
      <c r="B1371" s="37" t="n">
        <v>519.824279785156</v>
      </c>
    </row>
    <row r="1372" customFormat="false" ht="15" hidden="false" customHeight="false" outlineLevel="0" collapsed="false">
      <c r="A1372" s="148" t="n">
        <v>41352</v>
      </c>
      <c r="B1372" s="37" t="n">
        <v>513.826293945313</v>
      </c>
    </row>
    <row r="1373" customFormat="false" ht="15" hidden="false" customHeight="false" outlineLevel="0" collapsed="false">
      <c r="A1373" s="148" t="n">
        <v>41353</v>
      </c>
      <c r="B1373" s="37" t="n">
        <v>503.829681396484</v>
      </c>
    </row>
    <row r="1374" customFormat="false" ht="15" hidden="false" customHeight="false" outlineLevel="0" collapsed="false">
      <c r="A1374" s="148" t="n">
        <v>41354</v>
      </c>
      <c r="B1374" s="37" t="n">
        <v>503.829681396484</v>
      </c>
    </row>
    <row r="1375" customFormat="false" ht="15" hidden="false" customHeight="false" outlineLevel="0" collapsed="false">
      <c r="A1375" s="148" t="n">
        <v>41355</v>
      </c>
      <c r="B1375" s="37" t="n">
        <v>514.825927734375</v>
      </c>
    </row>
    <row r="1376" customFormat="false" ht="15" hidden="false" customHeight="false" outlineLevel="0" collapsed="false">
      <c r="A1376" s="148" t="n">
        <v>41358</v>
      </c>
      <c r="B1376" s="37" t="n">
        <v>509.827667236328</v>
      </c>
    </row>
    <row r="1377" customFormat="false" ht="15" hidden="false" customHeight="false" outlineLevel="0" collapsed="false">
      <c r="A1377" s="148" t="n">
        <v>41359</v>
      </c>
      <c r="B1377" s="37" t="n">
        <v>547.814819335938</v>
      </c>
    </row>
    <row r="1378" customFormat="false" ht="15" hidden="false" customHeight="false" outlineLevel="0" collapsed="false">
      <c r="A1378" s="148" t="n">
        <v>41360</v>
      </c>
      <c r="B1378" s="37" t="n">
        <v>539.817504882813</v>
      </c>
    </row>
    <row r="1379" customFormat="false" ht="15" hidden="false" customHeight="false" outlineLevel="0" collapsed="false">
      <c r="A1379" s="148" t="n">
        <v>41361</v>
      </c>
      <c r="B1379" s="37" t="n">
        <v>548.814514160156</v>
      </c>
    </row>
    <row r="1380" customFormat="false" ht="15" hidden="false" customHeight="false" outlineLevel="0" collapsed="false">
      <c r="A1380" s="148" t="n">
        <v>41362</v>
      </c>
      <c r="B1380" s="37" t="n">
        <v>548.814514160156</v>
      </c>
    </row>
    <row r="1381" customFormat="false" ht="15" hidden="false" customHeight="false" outlineLevel="0" collapsed="false">
      <c r="A1381" s="148" t="n">
        <v>41365</v>
      </c>
      <c r="B1381" s="37" t="n">
        <v>548.814514160156</v>
      </c>
    </row>
    <row r="1382" customFormat="false" ht="15" hidden="false" customHeight="false" outlineLevel="0" collapsed="false">
      <c r="A1382" s="148" t="n">
        <v>41366</v>
      </c>
      <c r="B1382" s="37" t="n">
        <v>534.819213867188</v>
      </c>
    </row>
    <row r="1383" customFormat="false" ht="15" hidden="false" customHeight="false" outlineLevel="0" collapsed="false">
      <c r="A1383" s="148" t="n">
        <v>41367</v>
      </c>
      <c r="B1383" s="37" t="n">
        <v>533.819519042969</v>
      </c>
    </row>
    <row r="1384" customFormat="false" ht="15" hidden="false" customHeight="false" outlineLevel="0" collapsed="false">
      <c r="A1384" s="148" t="n">
        <v>41368</v>
      </c>
      <c r="B1384" s="37" t="n">
        <v>533.819519042969</v>
      </c>
    </row>
    <row r="1385" customFormat="false" ht="15" hidden="false" customHeight="false" outlineLevel="0" collapsed="false">
      <c r="A1385" s="148" t="n">
        <v>41369</v>
      </c>
      <c r="B1385" s="37" t="n">
        <v>544.815856933594</v>
      </c>
    </row>
    <row r="1386" customFormat="false" ht="15" hidden="false" customHeight="false" outlineLevel="0" collapsed="false">
      <c r="A1386" s="148" t="n">
        <v>41372</v>
      </c>
      <c r="B1386" s="37" t="n">
        <v>569.807434082031</v>
      </c>
    </row>
    <row r="1387" customFormat="false" ht="15" hidden="false" customHeight="false" outlineLevel="0" collapsed="false">
      <c r="A1387" s="148" t="n">
        <v>41373</v>
      </c>
      <c r="B1387" s="37" t="n">
        <v>564.809020996094</v>
      </c>
    </row>
    <row r="1388" customFormat="false" ht="15" hidden="false" customHeight="false" outlineLevel="0" collapsed="false">
      <c r="A1388" s="148" t="n">
        <v>41374</v>
      </c>
      <c r="B1388" s="37" t="n">
        <v>554.812438964844</v>
      </c>
    </row>
    <row r="1389" customFormat="false" ht="15" hidden="false" customHeight="false" outlineLevel="0" collapsed="false">
      <c r="A1389" s="148" t="n">
        <v>41375</v>
      </c>
      <c r="B1389" s="37" t="n">
        <v>569.807434082031</v>
      </c>
    </row>
    <row r="1390" customFormat="false" ht="15" hidden="false" customHeight="false" outlineLevel="0" collapsed="false">
      <c r="A1390" s="148" t="n">
        <v>41376</v>
      </c>
      <c r="B1390" s="37" t="n">
        <v>569.807434082031</v>
      </c>
    </row>
    <row r="1391" customFormat="false" ht="15" hidden="false" customHeight="false" outlineLevel="0" collapsed="false">
      <c r="A1391" s="148" t="n">
        <v>41379</v>
      </c>
      <c r="B1391" s="37" t="n">
        <v>564.809020996094</v>
      </c>
    </row>
    <row r="1392" customFormat="false" ht="15" hidden="false" customHeight="false" outlineLevel="0" collapsed="false">
      <c r="A1392" s="148" t="n">
        <v>41380</v>
      </c>
      <c r="B1392" s="37" t="n">
        <v>562.809753417969</v>
      </c>
    </row>
    <row r="1393" customFormat="false" ht="15" hidden="false" customHeight="false" outlineLevel="0" collapsed="false">
      <c r="A1393" s="148" t="n">
        <v>41381</v>
      </c>
      <c r="B1393" s="37" t="n">
        <v>563.809387207031</v>
      </c>
    </row>
    <row r="1394" customFormat="false" ht="15" hidden="false" customHeight="false" outlineLevel="0" collapsed="false">
      <c r="A1394" s="148" t="n">
        <v>41382</v>
      </c>
      <c r="B1394" s="37" t="n">
        <v>562.809753417969</v>
      </c>
    </row>
    <row r="1395" customFormat="false" ht="15" hidden="false" customHeight="false" outlineLevel="0" collapsed="false">
      <c r="A1395" s="148" t="n">
        <v>41383</v>
      </c>
      <c r="B1395" s="37" t="n">
        <v>559.810729980469</v>
      </c>
    </row>
    <row r="1396" customFormat="false" ht="15" hidden="false" customHeight="false" outlineLevel="0" collapsed="false">
      <c r="A1396" s="148" t="n">
        <v>41386</v>
      </c>
      <c r="B1396" s="37" t="n">
        <v>559.810729980469</v>
      </c>
    </row>
    <row r="1397" customFormat="false" ht="15" hidden="false" customHeight="false" outlineLevel="0" collapsed="false">
      <c r="A1397" s="148" t="n">
        <v>41387</v>
      </c>
      <c r="B1397" s="37" t="n">
        <v>554.812438964844</v>
      </c>
    </row>
    <row r="1398" customFormat="false" ht="15" hidden="false" customHeight="false" outlineLevel="0" collapsed="false">
      <c r="A1398" s="148" t="n">
        <v>41388</v>
      </c>
      <c r="B1398" s="37" t="n">
        <v>559.810729980469</v>
      </c>
    </row>
    <row r="1399" customFormat="false" ht="15" hidden="false" customHeight="false" outlineLevel="0" collapsed="false">
      <c r="A1399" s="148" t="n">
        <v>41389</v>
      </c>
      <c r="B1399" s="37" t="n">
        <v>556.811767578125</v>
      </c>
    </row>
    <row r="1400" customFormat="false" ht="15" hidden="false" customHeight="false" outlineLevel="0" collapsed="false">
      <c r="A1400" s="148" t="n">
        <v>41390</v>
      </c>
      <c r="B1400" s="37" t="n">
        <v>556.811767578125</v>
      </c>
    </row>
    <row r="1401" customFormat="false" ht="15" hidden="false" customHeight="false" outlineLevel="0" collapsed="false">
      <c r="A1401" s="148" t="n">
        <v>41393</v>
      </c>
      <c r="B1401" s="37" t="n">
        <v>568.807678222656</v>
      </c>
    </row>
    <row r="1402" customFormat="false" ht="15" hidden="false" customHeight="false" outlineLevel="0" collapsed="false">
      <c r="A1402" s="148" t="n">
        <v>41394</v>
      </c>
      <c r="B1402" s="37" t="n">
        <v>559.810729980469</v>
      </c>
    </row>
    <row r="1403" customFormat="false" ht="15" hidden="false" customHeight="false" outlineLevel="0" collapsed="false">
      <c r="A1403" s="148" t="n">
        <v>41395</v>
      </c>
      <c r="B1403" s="37" t="n">
        <v>559.810729980469</v>
      </c>
    </row>
    <row r="1404" customFormat="false" ht="15" hidden="false" customHeight="false" outlineLevel="0" collapsed="false">
      <c r="A1404" s="148" t="n">
        <v>41396</v>
      </c>
      <c r="B1404" s="37" t="n">
        <v>579.804016113281</v>
      </c>
    </row>
    <row r="1405" customFormat="false" ht="15" hidden="false" customHeight="false" outlineLevel="0" collapsed="false">
      <c r="A1405" s="148" t="n">
        <v>41397</v>
      </c>
      <c r="B1405" s="37" t="n">
        <v>578.804382324219</v>
      </c>
    </row>
    <row r="1406" customFormat="false" ht="15" hidden="false" customHeight="false" outlineLevel="0" collapsed="false">
      <c r="A1406" s="148" t="n">
        <v>41400</v>
      </c>
      <c r="B1406" s="37" t="n">
        <v>588.800964355469</v>
      </c>
    </row>
    <row r="1407" customFormat="false" ht="15" hidden="false" customHeight="false" outlineLevel="0" collapsed="false">
      <c r="A1407" s="148" t="n">
        <v>41401</v>
      </c>
      <c r="B1407" s="37" t="n">
        <v>579.804016113281</v>
      </c>
    </row>
    <row r="1408" customFormat="false" ht="15" hidden="false" customHeight="false" outlineLevel="0" collapsed="false">
      <c r="A1408" s="148" t="n">
        <v>41402</v>
      </c>
      <c r="B1408" s="37" t="n">
        <v>575.805358886719</v>
      </c>
    </row>
    <row r="1409" customFormat="false" ht="15" hidden="false" customHeight="false" outlineLevel="0" collapsed="false">
      <c r="A1409" s="148" t="n">
        <v>41403</v>
      </c>
      <c r="B1409" s="37" t="n">
        <v>589.800598144531</v>
      </c>
    </row>
    <row r="1410" customFormat="false" ht="15" hidden="false" customHeight="false" outlineLevel="0" collapsed="false">
      <c r="A1410" s="148" t="n">
        <v>41404</v>
      </c>
      <c r="B1410" s="37" t="n">
        <v>599.797241210938</v>
      </c>
    </row>
    <row r="1411" customFormat="false" ht="15" hidden="false" customHeight="false" outlineLevel="0" collapsed="false">
      <c r="A1411" s="148" t="n">
        <v>41407</v>
      </c>
      <c r="B1411" s="37" t="n">
        <v>589.800598144531</v>
      </c>
    </row>
    <row r="1412" customFormat="false" ht="15" hidden="false" customHeight="false" outlineLevel="0" collapsed="false">
      <c r="A1412" s="148" t="n">
        <v>41408</v>
      </c>
      <c r="B1412" s="37" t="n">
        <v>594.798889160156</v>
      </c>
    </row>
    <row r="1413" customFormat="false" ht="15" hidden="false" customHeight="false" outlineLevel="0" collapsed="false">
      <c r="A1413" s="148" t="n">
        <v>41409</v>
      </c>
      <c r="B1413" s="37" t="n">
        <v>593.799255371094</v>
      </c>
    </row>
    <row r="1414" customFormat="false" ht="15" hidden="false" customHeight="false" outlineLevel="0" collapsed="false">
      <c r="A1414" s="148" t="n">
        <v>41410</v>
      </c>
      <c r="B1414" s="37" t="n">
        <v>589.800598144531</v>
      </c>
    </row>
    <row r="1415" customFormat="false" ht="15" hidden="false" customHeight="false" outlineLevel="0" collapsed="false">
      <c r="A1415" s="148" t="n">
        <v>41411</v>
      </c>
      <c r="B1415" s="37" t="n">
        <v>589.800598144531</v>
      </c>
    </row>
    <row r="1416" customFormat="false" ht="15" hidden="false" customHeight="false" outlineLevel="0" collapsed="false">
      <c r="A1416" s="148" t="n">
        <v>41414</v>
      </c>
      <c r="B1416" s="37" t="n">
        <v>584.802307128906</v>
      </c>
    </row>
    <row r="1417" customFormat="false" ht="15" hidden="false" customHeight="false" outlineLevel="0" collapsed="false">
      <c r="A1417" s="148" t="n">
        <v>41415</v>
      </c>
      <c r="B1417" s="37" t="n">
        <v>579.804016113281</v>
      </c>
    </row>
    <row r="1418" customFormat="false" ht="15" hidden="false" customHeight="false" outlineLevel="0" collapsed="false">
      <c r="A1418" s="148" t="n">
        <v>41416</v>
      </c>
      <c r="B1418" s="37" t="n">
        <v>584.802307128906</v>
      </c>
    </row>
    <row r="1419" customFormat="false" ht="15" hidden="false" customHeight="false" outlineLevel="0" collapsed="false">
      <c r="A1419" s="148" t="n">
        <v>41417</v>
      </c>
      <c r="B1419" s="37" t="n">
        <v>584.802307128906</v>
      </c>
    </row>
    <row r="1420" customFormat="false" ht="15" hidden="false" customHeight="false" outlineLevel="0" collapsed="false">
      <c r="A1420" s="148" t="n">
        <v>41418</v>
      </c>
      <c r="B1420" s="37" t="n">
        <v>584.802307128906</v>
      </c>
    </row>
    <row r="1421" customFormat="false" ht="15" hidden="false" customHeight="false" outlineLevel="0" collapsed="false">
      <c r="A1421" s="148" t="n">
        <v>41421</v>
      </c>
      <c r="B1421" s="37" t="n">
        <v>584.802307128906</v>
      </c>
    </row>
    <row r="1422" customFormat="false" ht="15" hidden="false" customHeight="false" outlineLevel="0" collapsed="false">
      <c r="A1422" s="148" t="n">
        <v>41422</v>
      </c>
      <c r="B1422" s="37" t="n">
        <v>587.801330566406</v>
      </c>
    </row>
    <row r="1423" customFormat="false" ht="15" hidden="false" customHeight="false" outlineLevel="0" collapsed="false">
      <c r="A1423" s="148" t="n">
        <v>41423</v>
      </c>
      <c r="B1423" s="37" t="n">
        <v>584.802307128906</v>
      </c>
    </row>
    <row r="1424" customFormat="false" ht="15" hidden="false" customHeight="false" outlineLevel="0" collapsed="false">
      <c r="A1424" s="148" t="n">
        <v>41424</v>
      </c>
      <c r="B1424" s="37" t="n">
        <v>579.804016113281</v>
      </c>
    </row>
    <row r="1425" customFormat="false" ht="15" hidden="false" customHeight="false" outlineLevel="0" collapsed="false">
      <c r="A1425" s="148" t="n">
        <v>41425</v>
      </c>
      <c r="B1425" s="37" t="n">
        <v>584.802307128906</v>
      </c>
    </row>
    <row r="1426" customFormat="false" ht="15" hidden="false" customHeight="false" outlineLevel="0" collapsed="false">
      <c r="A1426" s="148" t="n">
        <v>41428</v>
      </c>
      <c r="B1426" s="37" t="n">
        <v>583.802673339844</v>
      </c>
    </row>
    <row r="1427" customFormat="false" ht="15" hidden="false" customHeight="false" outlineLevel="0" collapsed="false">
      <c r="A1427" s="148" t="n">
        <v>41429</v>
      </c>
      <c r="B1427" s="37" t="n">
        <v>589.800598144531</v>
      </c>
    </row>
    <row r="1428" customFormat="false" ht="15" hidden="false" customHeight="false" outlineLevel="0" collapsed="false">
      <c r="A1428" s="148" t="n">
        <v>41430</v>
      </c>
      <c r="B1428" s="37" t="n">
        <v>589.800598144531</v>
      </c>
    </row>
    <row r="1429" customFormat="false" ht="15" hidden="false" customHeight="false" outlineLevel="0" collapsed="false">
      <c r="A1429" s="148" t="n">
        <v>41431</v>
      </c>
      <c r="B1429" s="37" t="n">
        <v>593.799255371094</v>
      </c>
    </row>
    <row r="1430" customFormat="false" ht="15" hidden="false" customHeight="false" outlineLevel="0" collapsed="false">
      <c r="A1430" s="148" t="n">
        <v>41432</v>
      </c>
      <c r="B1430" s="37" t="n">
        <v>594.798889160156</v>
      </c>
    </row>
    <row r="1431" customFormat="false" ht="15" hidden="false" customHeight="false" outlineLevel="0" collapsed="false">
      <c r="A1431" s="148" t="n">
        <v>41435</v>
      </c>
      <c r="B1431" s="37" t="n">
        <v>589.800598144531</v>
      </c>
    </row>
    <row r="1432" customFormat="false" ht="15" hidden="false" customHeight="false" outlineLevel="0" collapsed="false">
      <c r="A1432" s="148" t="n">
        <v>41436</v>
      </c>
      <c r="B1432" s="37" t="n">
        <v>589.800598144531</v>
      </c>
    </row>
    <row r="1433" customFormat="false" ht="15" hidden="false" customHeight="false" outlineLevel="0" collapsed="false">
      <c r="A1433" s="148" t="n">
        <v>41437</v>
      </c>
      <c r="B1433" s="37" t="n">
        <v>596.798278808594</v>
      </c>
    </row>
    <row r="1434" customFormat="false" ht="15" hidden="false" customHeight="false" outlineLevel="0" collapsed="false">
      <c r="A1434" s="148" t="n">
        <v>41438</v>
      </c>
      <c r="B1434" s="37" t="n">
        <v>599.797241210938</v>
      </c>
    </row>
    <row r="1435" customFormat="false" ht="15" hidden="false" customHeight="false" outlineLevel="0" collapsed="false">
      <c r="A1435" s="148" t="n">
        <v>41439</v>
      </c>
      <c r="B1435" s="37" t="n">
        <v>598.797546386719</v>
      </c>
    </row>
    <row r="1436" customFormat="false" ht="15" hidden="false" customHeight="false" outlineLevel="0" collapsed="false">
      <c r="A1436" s="148" t="n">
        <v>41442</v>
      </c>
      <c r="B1436" s="37" t="n">
        <v>598.797546386719</v>
      </c>
    </row>
    <row r="1437" customFormat="false" ht="15" hidden="false" customHeight="false" outlineLevel="0" collapsed="false">
      <c r="A1437" s="148" t="n">
        <v>41443</v>
      </c>
      <c r="B1437" s="37" t="n">
        <v>598.797546386719</v>
      </c>
    </row>
    <row r="1438" customFormat="false" ht="15" hidden="false" customHeight="false" outlineLevel="0" collapsed="false">
      <c r="A1438" s="148" t="n">
        <v>41444</v>
      </c>
      <c r="B1438" s="37" t="n">
        <v>599.797241210938</v>
      </c>
    </row>
    <row r="1439" customFormat="false" ht="15" hidden="false" customHeight="false" outlineLevel="0" collapsed="false">
      <c r="A1439" s="148" t="n">
        <v>41445</v>
      </c>
      <c r="B1439" s="37" t="n">
        <v>589.800598144531</v>
      </c>
    </row>
    <row r="1440" customFormat="false" ht="15" hidden="false" customHeight="false" outlineLevel="0" collapsed="false">
      <c r="A1440" s="148" t="n">
        <v>41446</v>
      </c>
      <c r="B1440" s="37" t="n">
        <v>589.800598144531</v>
      </c>
    </row>
    <row r="1441" customFormat="false" ht="15" hidden="false" customHeight="false" outlineLevel="0" collapsed="false">
      <c r="A1441" s="148" t="n">
        <v>41449</v>
      </c>
      <c r="B1441" s="37" t="n">
        <v>581.803283691406</v>
      </c>
    </row>
    <row r="1442" customFormat="false" ht="15" hidden="false" customHeight="false" outlineLevel="0" collapsed="false">
      <c r="A1442" s="148" t="n">
        <v>41450</v>
      </c>
      <c r="B1442" s="37" t="n">
        <v>579.804016113281</v>
      </c>
    </row>
    <row r="1443" customFormat="false" ht="15" hidden="false" customHeight="false" outlineLevel="0" collapsed="false">
      <c r="A1443" s="148" t="n">
        <v>41451</v>
      </c>
      <c r="B1443" s="37" t="n">
        <v>574.805725097656</v>
      </c>
    </row>
    <row r="1444" customFormat="false" ht="15" hidden="false" customHeight="false" outlineLevel="0" collapsed="false">
      <c r="A1444" s="148" t="n">
        <v>41452</v>
      </c>
      <c r="B1444" s="37" t="n">
        <v>569.807434082031</v>
      </c>
    </row>
    <row r="1445" customFormat="false" ht="15" hidden="false" customHeight="false" outlineLevel="0" collapsed="false">
      <c r="A1445" s="148" t="n">
        <v>41453</v>
      </c>
      <c r="B1445" s="37" t="n">
        <v>575.805358886719</v>
      </c>
    </row>
    <row r="1446" customFormat="false" ht="15" hidden="false" customHeight="false" outlineLevel="0" collapsed="false">
      <c r="A1446" s="148" t="n">
        <v>41456</v>
      </c>
      <c r="B1446" s="37" t="n">
        <v>597.797912597656</v>
      </c>
    </row>
    <row r="1447" customFormat="false" ht="15" hidden="false" customHeight="false" outlineLevel="0" collapsed="false">
      <c r="A1447" s="148" t="n">
        <v>41457</v>
      </c>
      <c r="B1447" s="37" t="n">
        <v>599.797241210938</v>
      </c>
    </row>
    <row r="1448" customFormat="false" ht="15" hidden="false" customHeight="false" outlineLevel="0" collapsed="false">
      <c r="A1448" s="148" t="n">
        <v>41458</v>
      </c>
      <c r="B1448" s="37" t="n">
        <v>589.800598144531</v>
      </c>
    </row>
    <row r="1449" customFormat="false" ht="15" hidden="false" customHeight="false" outlineLevel="0" collapsed="false">
      <c r="A1449" s="148" t="n">
        <v>41459</v>
      </c>
      <c r="B1449" s="37" t="n">
        <v>589.800598144531</v>
      </c>
    </row>
    <row r="1450" customFormat="false" ht="15" hidden="false" customHeight="false" outlineLevel="0" collapsed="false">
      <c r="A1450" s="148" t="n">
        <v>41460</v>
      </c>
      <c r="B1450" s="37" t="n">
        <v>588.800964355469</v>
      </c>
    </row>
    <row r="1451" customFormat="false" ht="15" hidden="false" customHeight="false" outlineLevel="0" collapsed="false">
      <c r="A1451" s="148" t="n">
        <v>41463</v>
      </c>
      <c r="B1451" s="37" t="n">
        <v>598.797546386719</v>
      </c>
    </row>
    <row r="1452" customFormat="false" ht="15" hidden="false" customHeight="false" outlineLevel="0" collapsed="false">
      <c r="A1452" s="148" t="n">
        <v>41464</v>
      </c>
      <c r="B1452" s="37" t="n">
        <v>591.799987792969</v>
      </c>
    </row>
    <row r="1453" customFormat="false" ht="15" hidden="false" customHeight="false" outlineLevel="0" collapsed="false">
      <c r="A1453" s="148" t="n">
        <v>41465</v>
      </c>
      <c r="B1453" s="37" t="n">
        <v>591.799987792969</v>
      </c>
    </row>
    <row r="1454" customFormat="false" ht="15" hidden="false" customHeight="false" outlineLevel="0" collapsed="false">
      <c r="A1454" s="148" t="n">
        <v>41466</v>
      </c>
      <c r="B1454" s="37" t="n">
        <v>598.797546386719</v>
      </c>
    </row>
    <row r="1455" customFormat="false" ht="15" hidden="false" customHeight="false" outlineLevel="0" collapsed="false">
      <c r="A1455" s="148" t="n">
        <v>41467</v>
      </c>
      <c r="B1455" s="37" t="n">
        <v>599.797241210938</v>
      </c>
    </row>
    <row r="1456" customFormat="false" ht="15" hidden="false" customHeight="false" outlineLevel="0" collapsed="false">
      <c r="A1456" s="148" t="n">
        <v>41470</v>
      </c>
      <c r="B1456" s="37" t="n">
        <v>598.797546386719</v>
      </c>
    </row>
    <row r="1457" customFormat="false" ht="15" hidden="false" customHeight="false" outlineLevel="0" collapsed="false">
      <c r="A1457" s="148" t="n">
        <v>41471</v>
      </c>
      <c r="B1457" s="37" t="n">
        <v>598.797546386719</v>
      </c>
    </row>
    <row r="1458" customFormat="false" ht="15" hidden="false" customHeight="false" outlineLevel="0" collapsed="false">
      <c r="A1458" s="148" t="n">
        <v>41472</v>
      </c>
      <c r="B1458" s="37" t="n">
        <v>599.797241210938</v>
      </c>
    </row>
    <row r="1459" customFormat="false" ht="15" hidden="false" customHeight="false" outlineLevel="0" collapsed="false">
      <c r="A1459" s="148" t="n">
        <v>41473</v>
      </c>
      <c r="B1459" s="37" t="n">
        <v>599.797241210938</v>
      </c>
    </row>
    <row r="1460" customFormat="false" ht="15" hidden="false" customHeight="false" outlineLevel="0" collapsed="false">
      <c r="A1460" s="148" t="n">
        <v>41474</v>
      </c>
      <c r="B1460" s="37" t="n">
        <v>589.800598144531</v>
      </c>
    </row>
    <row r="1461" customFormat="false" ht="15" hidden="false" customHeight="false" outlineLevel="0" collapsed="false">
      <c r="A1461" s="148" t="n">
        <v>41477</v>
      </c>
      <c r="B1461" s="37" t="n">
        <v>599.797241210938</v>
      </c>
    </row>
    <row r="1462" customFormat="false" ht="15" hidden="false" customHeight="false" outlineLevel="0" collapsed="false">
      <c r="A1462" s="148" t="n">
        <v>41478</v>
      </c>
      <c r="B1462" s="37" t="n">
        <v>594.798889160156</v>
      </c>
    </row>
    <row r="1463" customFormat="false" ht="15" hidden="false" customHeight="false" outlineLevel="0" collapsed="false">
      <c r="A1463" s="148" t="n">
        <v>41479</v>
      </c>
      <c r="B1463" s="37" t="n">
        <v>594.798889160156</v>
      </c>
    </row>
    <row r="1464" customFormat="false" ht="15" hidden="false" customHeight="false" outlineLevel="0" collapsed="false">
      <c r="A1464" s="148" t="n">
        <v>41480</v>
      </c>
      <c r="B1464" s="37" t="n">
        <v>589.800598144531</v>
      </c>
    </row>
    <row r="1465" customFormat="false" ht="15" hidden="false" customHeight="false" outlineLevel="0" collapsed="false">
      <c r="A1465" s="148" t="n">
        <v>41481</v>
      </c>
      <c r="B1465" s="37" t="n">
        <v>589.800598144531</v>
      </c>
    </row>
    <row r="1466" customFormat="false" ht="15" hidden="false" customHeight="false" outlineLevel="0" collapsed="false">
      <c r="A1466" s="148" t="n">
        <v>41484</v>
      </c>
      <c r="B1466" s="37" t="n">
        <v>594.798889160156</v>
      </c>
    </row>
    <row r="1467" customFormat="false" ht="15" hidden="false" customHeight="false" outlineLevel="0" collapsed="false">
      <c r="A1467" s="148" t="n">
        <v>41485</v>
      </c>
      <c r="B1467" s="37" t="n">
        <v>589.800598144531</v>
      </c>
    </row>
    <row r="1468" customFormat="false" ht="15" hidden="false" customHeight="false" outlineLevel="0" collapsed="false">
      <c r="A1468" s="148" t="n">
        <v>41486</v>
      </c>
      <c r="B1468" s="37" t="n">
        <v>594.798889160156</v>
      </c>
    </row>
    <row r="1469" customFormat="false" ht="15" hidden="false" customHeight="false" outlineLevel="0" collapsed="false">
      <c r="A1469" s="148" t="n">
        <v>41487</v>
      </c>
      <c r="B1469" s="37" t="n">
        <v>589.800598144531</v>
      </c>
    </row>
    <row r="1470" customFormat="false" ht="15" hidden="false" customHeight="false" outlineLevel="0" collapsed="false">
      <c r="A1470" s="148" t="n">
        <v>41488</v>
      </c>
      <c r="B1470" s="37" t="n">
        <v>594.798889160156</v>
      </c>
    </row>
    <row r="1471" customFormat="false" ht="15" hidden="false" customHeight="false" outlineLevel="0" collapsed="false">
      <c r="A1471" s="148" t="n">
        <v>41491</v>
      </c>
      <c r="B1471" s="37" t="n">
        <v>594.798889160156</v>
      </c>
    </row>
    <row r="1472" customFormat="false" ht="15" hidden="false" customHeight="false" outlineLevel="0" collapsed="false">
      <c r="A1472" s="148" t="n">
        <v>41492</v>
      </c>
      <c r="B1472" s="37" t="n">
        <v>594.798889160156</v>
      </c>
    </row>
    <row r="1473" customFormat="false" ht="15" hidden="false" customHeight="false" outlineLevel="0" collapsed="false">
      <c r="A1473" s="148" t="n">
        <v>41493</v>
      </c>
      <c r="B1473" s="37" t="n">
        <v>589.800598144531</v>
      </c>
    </row>
    <row r="1474" customFormat="false" ht="15" hidden="false" customHeight="false" outlineLevel="0" collapsed="false">
      <c r="A1474" s="148" t="n">
        <v>41494</v>
      </c>
      <c r="B1474" s="37" t="n">
        <v>584.802307128906</v>
      </c>
    </row>
    <row r="1475" customFormat="false" ht="15" hidden="false" customHeight="false" outlineLevel="0" collapsed="false">
      <c r="A1475" s="148" t="n">
        <v>41495</v>
      </c>
      <c r="B1475" s="37" t="n">
        <v>584.802307128906</v>
      </c>
    </row>
    <row r="1476" customFormat="false" ht="15" hidden="false" customHeight="false" outlineLevel="0" collapsed="false">
      <c r="A1476" s="148" t="n">
        <v>41498</v>
      </c>
      <c r="B1476" s="37" t="n">
        <v>589.800598144531</v>
      </c>
    </row>
    <row r="1477" customFormat="false" ht="15" hidden="false" customHeight="false" outlineLevel="0" collapsed="false">
      <c r="A1477" s="148" t="n">
        <v>41499</v>
      </c>
      <c r="B1477" s="37" t="n">
        <v>591.799987792969</v>
      </c>
    </row>
    <row r="1478" customFormat="false" ht="15" hidden="false" customHeight="false" outlineLevel="0" collapsed="false">
      <c r="A1478" s="148" t="n">
        <v>41500</v>
      </c>
      <c r="B1478" s="37" t="n">
        <v>589.800598144531</v>
      </c>
    </row>
    <row r="1479" customFormat="false" ht="15" hidden="false" customHeight="false" outlineLevel="0" collapsed="false">
      <c r="A1479" s="148" t="n">
        <v>41501</v>
      </c>
      <c r="B1479" s="37" t="n">
        <v>589.800598144531</v>
      </c>
    </row>
    <row r="1480" customFormat="false" ht="15" hidden="false" customHeight="false" outlineLevel="0" collapsed="false">
      <c r="A1480" s="148" t="n">
        <v>41502</v>
      </c>
      <c r="B1480" s="37" t="n">
        <v>579.804016113281</v>
      </c>
    </row>
    <row r="1481" customFormat="false" ht="15" hidden="false" customHeight="false" outlineLevel="0" collapsed="false">
      <c r="A1481" s="148" t="n">
        <v>41505</v>
      </c>
      <c r="B1481" s="37" t="n">
        <v>602.796203613281</v>
      </c>
    </row>
    <row r="1482" customFormat="false" ht="15" hidden="false" customHeight="false" outlineLevel="0" collapsed="false">
      <c r="A1482" s="148" t="n">
        <v>41506</v>
      </c>
      <c r="B1482" s="37" t="n">
        <v>614.792175292969</v>
      </c>
    </row>
    <row r="1483" customFormat="false" ht="15" hidden="false" customHeight="false" outlineLevel="0" collapsed="false">
      <c r="A1483" s="148" t="n">
        <v>41507</v>
      </c>
      <c r="B1483" s="37" t="n">
        <v>614.792175292969</v>
      </c>
    </row>
    <row r="1484" customFormat="false" ht="15" hidden="false" customHeight="false" outlineLevel="0" collapsed="false">
      <c r="A1484" s="148" t="n">
        <v>41508</v>
      </c>
      <c r="B1484" s="37" t="n">
        <v>617.791137695313</v>
      </c>
    </row>
    <row r="1485" customFormat="false" ht="15" hidden="false" customHeight="false" outlineLevel="0" collapsed="false">
      <c r="A1485" s="148" t="n">
        <v>41509</v>
      </c>
      <c r="B1485" s="37" t="n">
        <v>617.791137695313</v>
      </c>
    </row>
    <row r="1486" customFormat="false" ht="15" hidden="false" customHeight="false" outlineLevel="0" collapsed="false">
      <c r="A1486" s="148" t="n">
        <v>41512</v>
      </c>
      <c r="B1486" s="37" t="n">
        <v>614.792175292969</v>
      </c>
    </row>
    <row r="1487" customFormat="false" ht="15" hidden="false" customHeight="false" outlineLevel="0" collapsed="false">
      <c r="A1487" s="148" t="n">
        <v>41513</v>
      </c>
      <c r="B1487" s="37" t="n">
        <v>614.792175292969</v>
      </c>
    </row>
    <row r="1488" customFormat="false" ht="15" hidden="false" customHeight="false" outlineLevel="0" collapsed="false">
      <c r="A1488" s="148" t="n">
        <v>41514</v>
      </c>
      <c r="B1488" s="37" t="n">
        <v>614.792175292969</v>
      </c>
    </row>
    <row r="1489" customFormat="false" ht="15" hidden="false" customHeight="false" outlineLevel="0" collapsed="false">
      <c r="A1489" s="148" t="n">
        <v>41515</v>
      </c>
      <c r="B1489" s="37" t="n">
        <v>615.791809082031</v>
      </c>
    </row>
    <row r="1490" customFormat="false" ht="15" hidden="false" customHeight="false" outlineLevel="0" collapsed="false">
      <c r="A1490" s="148" t="n">
        <v>41516</v>
      </c>
      <c r="B1490" s="37" t="n">
        <v>617.791137695313</v>
      </c>
    </row>
    <row r="1491" customFormat="false" ht="15" hidden="false" customHeight="false" outlineLevel="0" collapsed="false">
      <c r="A1491" s="148" t="n">
        <v>41519</v>
      </c>
      <c r="B1491" s="37" t="n">
        <v>617.791137695313</v>
      </c>
    </row>
    <row r="1492" customFormat="false" ht="15" hidden="false" customHeight="false" outlineLevel="0" collapsed="false">
      <c r="A1492" s="148" t="n">
        <v>41520</v>
      </c>
      <c r="B1492" s="37" t="n">
        <v>616.79150390625</v>
      </c>
    </row>
    <row r="1493" customFormat="false" ht="15" hidden="false" customHeight="false" outlineLevel="0" collapsed="false">
      <c r="A1493" s="148" t="n">
        <v>41521</v>
      </c>
      <c r="B1493" s="37" t="n">
        <v>614.792175292969</v>
      </c>
    </row>
    <row r="1494" customFormat="false" ht="15" hidden="false" customHeight="false" outlineLevel="0" collapsed="false">
      <c r="A1494" s="148" t="n">
        <v>41522</v>
      </c>
      <c r="B1494" s="37" t="n">
        <v>617.791137695313</v>
      </c>
    </row>
    <row r="1495" customFormat="false" ht="15" hidden="false" customHeight="false" outlineLevel="0" collapsed="false">
      <c r="A1495" s="148" t="n">
        <v>41523</v>
      </c>
      <c r="B1495" s="37" t="n">
        <v>617.791137695313</v>
      </c>
    </row>
    <row r="1496" customFormat="false" ht="15" hidden="false" customHeight="false" outlineLevel="0" collapsed="false">
      <c r="A1496" s="148" t="n">
        <v>41526</v>
      </c>
      <c r="B1496" s="37" t="n">
        <v>619.790466308594</v>
      </c>
    </row>
    <row r="1497" customFormat="false" ht="15" hidden="false" customHeight="false" outlineLevel="0" collapsed="false">
      <c r="A1497" s="148" t="n">
        <v>41527</v>
      </c>
      <c r="B1497" s="37" t="n">
        <v>611.793212890625</v>
      </c>
    </row>
    <row r="1498" customFormat="false" ht="15" hidden="false" customHeight="false" outlineLevel="0" collapsed="false">
      <c r="A1498" s="148" t="n">
        <v>41528</v>
      </c>
      <c r="B1498" s="37" t="n">
        <v>618.790832519531</v>
      </c>
    </row>
    <row r="1499" customFormat="false" ht="15" hidden="false" customHeight="false" outlineLevel="0" collapsed="false">
      <c r="A1499" s="148" t="n">
        <v>41529</v>
      </c>
      <c r="B1499" s="37" t="n">
        <v>614.792175292969</v>
      </c>
    </row>
    <row r="1500" customFormat="false" ht="15" hidden="false" customHeight="false" outlineLevel="0" collapsed="false">
      <c r="A1500" s="148" t="n">
        <v>41530</v>
      </c>
      <c r="B1500" s="37" t="n">
        <v>618.790832519531</v>
      </c>
    </row>
    <row r="1501" customFormat="false" ht="15" hidden="false" customHeight="false" outlineLevel="0" collapsed="false">
      <c r="A1501" s="148" t="n">
        <v>41533</v>
      </c>
      <c r="B1501" s="37" t="n">
        <v>614.792175292969</v>
      </c>
    </row>
    <row r="1502" customFormat="false" ht="15" hidden="false" customHeight="false" outlineLevel="0" collapsed="false">
      <c r="A1502" s="148" t="n">
        <v>41534</v>
      </c>
      <c r="B1502" s="37" t="n">
        <v>618.790832519531</v>
      </c>
    </row>
    <row r="1503" customFormat="false" ht="15" hidden="false" customHeight="false" outlineLevel="0" collapsed="false">
      <c r="A1503" s="148" t="n">
        <v>41535</v>
      </c>
      <c r="B1503" s="37" t="n">
        <v>618.790832519531</v>
      </c>
    </row>
    <row r="1504" customFormat="false" ht="15" hidden="false" customHeight="false" outlineLevel="0" collapsed="false">
      <c r="A1504" s="148" t="n">
        <v>41536</v>
      </c>
      <c r="B1504" s="37" t="n">
        <v>618.790832519531</v>
      </c>
    </row>
    <row r="1505" customFormat="false" ht="15" hidden="false" customHeight="false" outlineLevel="0" collapsed="false">
      <c r="A1505" s="148" t="n">
        <v>41537</v>
      </c>
      <c r="B1505" s="37" t="n">
        <v>619.790466308594</v>
      </c>
    </row>
    <row r="1506" customFormat="false" ht="15" hidden="false" customHeight="false" outlineLevel="0" collapsed="false">
      <c r="A1506" s="148" t="n">
        <v>41540</v>
      </c>
      <c r="B1506" s="37" t="n">
        <v>619.790466308594</v>
      </c>
    </row>
    <row r="1507" customFormat="false" ht="15" hidden="false" customHeight="false" outlineLevel="0" collapsed="false">
      <c r="A1507" s="148" t="n">
        <v>41541</v>
      </c>
      <c r="B1507" s="37" t="n">
        <v>619.790466308594</v>
      </c>
    </row>
    <row r="1508" customFormat="false" ht="15" hidden="false" customHeight="false" outlineLevel="0" collapsed="false">
      <c r="A1508" s="148" t="n">
        <v>41542</v>
      </c>
      <c r="B1508" s="37" t="n">
        <v>624.788818359375</v>
      </c>
    </row>
    <row r="1509" customFormat="false" ht="15" hidden="false" customHeight="false" outlineLevel="0" collapsed="false">
      <c r="A1509" s="148" t="n">
        <v>41543</v>
      </c>
      <c r="B1509" s="37" t="n">
        <v>624.788818359375</v>
      </c>
    </row>
    <row r="1510" customFormat="false" ht="15" hidden="false" customHeight="false" outlineLevel="0" collapsed="false">
      <c r="A1510" s="148" t="n">
        <v>41544</v>
      </c>
      <c r="B1510" s="37" t="n">
        <v>618.790832519531</v>
      </c>
    </row>
    <row r="1511" customFormat="false" ht="15" hidden="false" customHeight="false" outlineLevel="0" collapsed="false">
      <c r="A1511" s="148" t="n">
        <v>41547</v>
      </c>
      <c r="B1511" s="37" t="n">
        <v>663.775634765625</v>
      </c>
    </row>
    <row r="1512" customFormat="false" ht="15" hidden="false" customHeight="false" outlineLevel="0" collapsed="false">
      <c r="A1512" s="148" t="n">
        <v>41548</v>
      </c>
      <c r="B1512" s="37" t="n">
        <v>634.785400390625</v>
      </c>
    </row>
    <row r="1513" customFormat="false" ht="15" hidden="false" customHeight="false" outlineLevel="0" collapsed="false">
      <c r="A1513" s="148" t="n">
        <v>41549</v>
      </c>
      <c r="B1513" s="37" t="n">
        <v>634.785400390625</v>
      </c>
    </row>
    <row r="1514" customFormat="false" ht="15" hidden="false" customHeight="false" outlineLevel="0" collapsed="false">
      <c r="A1514" s="148" t="n">
        <v>41550</v>
      </c>
      <c r="B1514" s="37" t="n">
        <v>653.779052734375</v>
      </c>
    </row>
    <row r="1515" customFormat="false" ht="15" hidden="false" customHeight="false" outlineLevel="0" collapsed="false">
      <c r="A1515" s="148" t="n">
        <v>41551</v>
      </c>
      <c r="B1515" s="37" t="n">
        <v>653.779052734375</v>
      </c>
    </row>
    <row r="1516" customFormat="false" ht="15" hidden="false" customHeight="false" outlineLevel="0" collapsed="false">
      <c r="A1516" s="148" t="n">
        <v>41554</v>
      </c>
      <c r="B1516" s="37" t="n">
        <v>649.780395507813</v>
      </c>
    </row>
    <row r="1517" customFormat="false" ht="15" hidden="false" customHeight="false" outlineLevel="0" collapsed="false">
      <c r="A1517" s="148" t="n">
        <v>41555</v>
      </c>
      <c r="B1517" s="37" t="n">
        <v>659.776977539063</v>
      </c>
    </row>
    <row r="1518" customFormat="false" ht="15" hidden="false" customHeight="false" outlineLevel="0" collapsed="false">
      <c r="A1518" s="148" t="n">
        <v>41556</v>
      </c>
      <c r="B1518" s="37" t="n">
        <v>653.779052734375</v>
      </c>
    </row>
    <row r="1519" customFormat="false" ht="15" hidden="false" customHeight="false" outlineLevel="0" collapsed="false">
      <c r="A1519" s="148" t="n">
        <v>41557</v>
      </c>
      <c r="B1519" s="37" t="n">
        <v>648.780639648438</v>
      </c>
    </row>
    <row r="1520" customFormat="false" ht="15" hidden="false" customHeight="false" outlineLevel="0" collapsed="false">
      <c r="A1520" s="148" t="n">
        <v>41558</v>
      </c>
      <c r="B1520" s="37" t="n">
        <v>648.780639648438</v>
      </c>
    </row>
    <row r="1521" customFormat="false" ht="15" hidden="false" customHeight="false" outlineLevel="0" collapsed="false">
      <c r="A1521" s="148" t="n">
        <v>41561</v>
      </c>
      <c r="B1521" s="37" t="n">
        <v>639.78369140625</v>
      </c>
    </row>
    <row r="1522" customFormat="false" ht="15" hidden="false" customHeight="false" outlineLevel="0" collapsed="false">
      <c r="A1522" s="148" t="n">
        <v>41562</v>
      </c>
      <c r="B1522" s="37" t="n">
        <v>625.095703125</v>
      </c>
    </row>
    <row r="1523" customFormat="false" ht="15" hidden="false" customHeight="false" outlineLevel="0" collapsed="false">
      <c r="A1523" s="148" t="n">
        <v>41563</v>
      </c>
      <c r="B1523" s="37" t="n">
        <v>633.785766601563</v>
      </c>
    </row>
    <row r="1524" customFormat="false" ht="15" hidden="false" customHeight="false" outlineLevel="0" collapsed="false">
      <c r="A1524" s="148" t="n">
        <v>41564</v>
      </c>
      <c r="B1524" s="37" t="n">
        <v>624.788818359375</v>
      </c>
    </row>
    <row r="1525" customFormat="false" ht="15" hidden="false" customHeight="false" outlineLevel="0" collapsed="false">
      <c r="A1525" s="148" t="n">
        <v>41565</v>
      </c>
      <c r="B1525" s="37" t="n">
        <v>629.787109375</v>
      </c>
    </row>
    <row r="1526" customFormat="false" ht="15" hidden="false" customHeight="false" outlineLevel="0" collapsed="false">
      <c r="A1526" s="148" t="n">
        <v>41568</v>
      </c>
      <c r="B1526" s="37" t="n">
        <v>677.770874023438</v>
      </c>
    </row>
    <row r="1527" customFormat="false" ht="15" hidden="false" customHeight="false" outlineLevel="0" collapsed="false">
      <c r="A1527" s="148" t="n">
        <v>41569</v>
      </c>
      <c r="B1527" s="37" t="n">
        <v>659.776977539063</v>
      </c>
    </row>
    <row r="1528" customFormat="false" ht="15" hidden="false" customHeight="false" outlineLevel="0" collapsed="false">
      <c r="A1528" s="148" t="n">
        <v>41570</v>
      </c>
      <c r="B1528" s="37" t="n">
        <v>664.775268554688</v>
      </c>
    </row>
    <row r="1529" customFormat="false" ht="15" hidden="false" customHeight="false" outlineLevel="0" collapsed="false">
      <c r="A1529" s="148" t="n">
        <v>41571</v>
      </c>
      <c r="B1529" s="37" t="n">
        <v>659.776977539063</v>
      </c>
    </row>
    <row r="1530" customFormat="false" ht="15" hidden="false" customHeight="false" outlineLevel="0" collapsed="false">
      <c r="A1530" s="148" t="n">
        <v>41572</v>
      </c>
      <c r="B1530" s="37" t="n">
        <v>659.776977539063</v>
      </c>
    </row>
    <row r="1531" customFormat="false" ht="15" hidden="false" customHeight="false" outlineLevel="0" collapsed="false">
      <c r="A1531" s="148" t="n">
        <v>41575</v>
      </c>
      <c r="B1531" s="37" t="n">
        <v>659.776977539063</v>
      </c>
    </row>
    <row r="1532" customFormat="false" ht="15" hidden="false" customHeight="false" outlineLevel="0" collapsed="false">
      <c r="A1532" s="148" t="n">
        <v>41576</v>
      </c>
      <c r="B1532" s="37" t="n">
        <v>659.776977539063</v>
      </c>
    </row>
    <row r="1533" customFormat="false" ht="15" hidden="false" customHeight="false" outlineLevel="0" collapsed="false">
      <c r="A1533" s="148" t="n">
        <v>41577</v>
      </c>
      <c r="B1533" s="37" t="n">
        <v>626.7880859375</v>
      </c>
    </row>
    <row r="1534" customFormat="false" ht="15" hidden="false" customHeight="false" outlineLevel="0" collapsed="false">
      <c r="A1534" s="148" t="n">
        <v>41578</v>
      </c>
      <c r="B1534" s="37" t="n">
        <v>648.780639648438</v>
      </c>
    </row>
    <row r="1535" customFormat="false" ht="15" hidden="false" customHeight="false" outlineLevel="0" collapsed="false">
      <c r="A1535" s="148" t="n">
        <v>41579</v>
      </c>
      <c r="B1535" s="37" t="n">
        <v>649.780395507813</v>
      </c>
    </row>
    <row r="1536" customFormat="false" ht="15" hidden="false" customHeight="false" outlineLevel="0" collapsed="false">
      <c r="A1536" s="148" t="n">
        <v>41582</v>
      </c>
      <c r="B1536" s="37" t="n">
        <v>649.780395507813</v>
      </c>
    </row>
    <row r="1537" customFormat="false" ht="15" hidden="false" customHeight="false" outlineLevel="0" collapsed="false">
      <c r="A1537" s="148" t="n">
        <v>41583</v>
      </c>
      <c r="B1537" s="37" t="n">
        <v>653.779052734375</v>
      </c>
    </row>
    <row r="1538" customFormat="false" ht="15" hidden="false" customHeight="false" outlineLevel="0" collapsed="false">
      <c r="A1538" s="148" t="n">
        <v>41584</v>
      </c>
      <c r="B1538" s="37" t="n">
        <v>654.778686523438</v>
      </c>
    </row>
    <row r="1539" customFormat="false" ht="15" hidden="false" customHeight="false" outlineLevel="0" collapsed="false">
      <c r="A1539" s="148" t="n">
        <v>41585</v>
      </c>
      <c r="B1539" s="37" t="n">
        <v>649.780395507813</v>
      </c>
    </row>
    <row r="1540" customFormat="false" ht="15" hidden="false" customHeight="false" outlineLevel="0" collapsed="false">
      <c r="A1540" s="148" t="n">
        <v>41586</v>
      </c>
      <c r="B1540" s="37" t="n">
        <v>653.779052734375</v>
      </c>
    </row>
    <row r="1541" customFormat="false" ht="15" hidden="false" customHeight="false" outlineLevel="0" collapsed="false">
      <c r="A1541" s="148" t="n">
        <v>41589</v>
      </c>
      <c r="B1541" s="37" t="n">
        <v>649.780395507813</v>
      </c>
    </row>
    <row r="1542" customFormat="false" ht="15" hidden="false" customHeight="false" outlineLevel="0" collapsed="false">
      <c r="A1542" s="148" t="n">
        <v>41590</v>
      </c>
      <c r="B1542" s="37" t="n">
        <v>649.780395507813</v>
      </c>
    </row>
    <row r="1543" customFormat="false" ht="15" hidden="false" customHeight="false" outlineLevel="0" collapsed="false">
      <c r="A1543" s="148" t="n">
        <v>41591</v>
      </c>
      <c r="B1543" s="37" t="n">
        <v>657.777587890625</v>
      </c>
    </row>
    <row r="1544" customFormat="false" ht="15" hidden="false" customHeight="false" outlineLevel="0" collapsed="false">
      <c r="A1544" s="148" t="n">
        <v>41592</v>
      </c>
      <c r="B1544" s="37" t="n">
        <v>654.778686523438</v>
      </c>
    </row>
    <row r="1545" customFormat="false" ht="15" hidden="false" customHeight="false" outlineLevel="0" collapsed="false">
      <c r="A1545" s="148" t="n">
        <v>41593</v>
      </c>
      <c r="B1545" s="37" t="n">
        <v>629.787109375</v>
      </c>
    </row>
    <row r="1546" customFormat="false" ht="15" hidden="false" customHeight="false" outlineLevel="0" collapsed="false">
      <c r="A1546" s="148" t="n">
        <v>41596</v>
      </c>
      <c r="B1546" s="37" t="n">
        <v>649.780395507813</v>
      </c>
    </row>
    <row r="1547" customFormat="false" ht="15" hidden="false" customHeight="false" outlineLevel="0" collapsed="false">
      <c r="A1547" s="148" t="n">
        <v>41597</v>
      </c>
      <c r="B1547" s="37" t="n">
        <v>654.778686523438</v>
      </c>
    </row>
    <row r="1548" customFormat="false" ht="15" hidden="false" customHeight="false" outlineLevel="0" collapsed="false">
      <c r="A1548" s="148" t="n">
        <v>41598</v>
      </c>
      <c r="B1548" s="37" t="n">
        <v>659.776977539063</v>
      </c>
    </row>
    <row r="1549" customFormat="false" ht="15" hidden="false" customHeight="false" outlineLevel="0" collapsed="false">
      <c r="A1549" s="148" t="n">
        <v>41599</v>
      </c>
      <c r="B1549" s="37" t="n">
        <v>659.776977539063</v>
      </c>
    </row>
    <row r="1550" customFormat="false" ht="15" hidden="false" customHeight="false" outlineLevel="0" collapsed="false">
      <c r="A1550" s="148" t="n">
        <v>41600</v>
      </c>
      <c r="B1550" s="37" t="n">
        <v>651.779663085938</v>
      </c>
    </row>
    <row r="1551" customFormat="false" ht="15" hidden="false" customHeight="false" outlineLevel="0" collapsed="false">
      <c r="A1551" s="148" t="n">
        <v>41603</v>
      </c>
      <c r="B1551" s="37" t="n">
        <v>650.780029296875</v>
      </c>
    </row>
    <row r="1552" customFormat="false" ht="15" hidden="false" customHeight="false" outlineLevel="0" collapsed="false">
      <c r="A1552" s="148" t="n">
        <v>41604</v>
      </c>
      <c r="B1552" s="37" t="n">
        <v>650.780029296875</v>
      </c>
    </row>
    <row r="1553" customFormat="false" ht="15" hidden="false" customHeight="false" outlineLevel="0" collapsed="false">
      <c r="A1553" s="148" t="n">
        <v>41605</v>
      </c>
      <c r="B1553" s="37" t="n">
        <v>649.780395507813</v>
      </c>
    </row>
    <row r="1554" customFormat="false" ht="15" hidden="false" customHeight="false" outlineLevel="0" collapsed="false">
      <c r="A1554" s="148" t="n">
        <v>41606</v>
      </c>
      <c r="B1554" s="37" t="n">
        <v>659.776977539063</v>
      </c>
    </row>
    <row r="1555" customFormat="false" ht="15" hidden="false" customHeight="false" outlineLevel="0" collapsed="false">
      <c r="A1555" s="148" t="n">
        <v>41607</v>
      </c>
      <c r="B1555" s="37" t="n">
        <v>651.779663085938</v>
      </c>
    </row>
    <row r="1556" customFormat="false" ht="15" hidden="false" customHeight="false" outlineLevel="0" collapsed="false">
      <c r="A1556" s="148" t="n">
        <v>41610</v>
      </c>
      <c r="B1556" s="37" t="n">
        <v>651.779663085938</v>
      </c>
    </row>
    <row r="1557" customFormat="false" ht="15" hidden="false" customHeight="false" outlineLevel="0" collapsed="false">
      <c r="A1557" s="148" t="n">
        <v>41611</v>
      </c>
      <c r="B1557" s="37" t="n">
        <v>649.780395507813</v>
      </c>
    </row>
    <row r="1558" customFormat="false" ht="15" hidden="false" customHeight="false" outlineLevel="0" collapsed="false">
      <c r="A1558" s="148" t="n">
        <v>41612</v>
      </c>
      <c r="B1558" s="37" t="n">
        <v>649.780395507813</v>
      </c>
    </row>
    <row r="1559" customFormat="false" ht="15" hidden="false" customHeight="false" outlineLevel="0" collapsed="false">
      <c r="A1559" s="148" t="n">
        <v>41613</v>
      </c>
      <c r="B1559" s="37" t="n">
        <v>649.780395507813</v>
      </c>
    </row>
    <row r="1560" customFormat="false" ht="15" hidden="false" customHeight="false" outlineLevel="0" collapsed="false">
      <c r="A1560" s="148" t="n">
        <v>41614</v>
      </c>
      <c r="B1560" s="37" t="n">
        <v>649.780395507813</v>
      </c>
    </row>
    <row r="1561" customFormat="false" ht="15" hidden="false" customHeight="false" outlineLevel="0" collapsed="false">
      <c r="A1561" s="148" t="n">
        <v>41617</v>
      </c>
      <c r="B1561" s="37" t="n">
        <v>649.780395507813</v>
      </c>
    </row>
    <row r="1562" customFormat="false" ht="15" hidden="false" customHeight="false" outlineLevel="0" collapsed="false">
      <c r="A1562" s="148" t="n">
        <v>41618</v>
      </c>
      <c r="B1562" s="37" t="n">
        <v>646.781372070313</v>
      </c>
    </row>
    <row r="1563" customFormat="false" ht="15" hidden="false" customHeight="false" outlineLevel="0" collapsed="false">
      <c r="A1563" s="148" t="n">
        <v>41619</v>
      </c>
      <c r="B1563" s="37" t="n">
        <v>643.782348632813</v>
      </c>
    </row>
    <row r="1564" customFormat="false" ht="15" hidden="false" customHeight="false" outlineLevel="0" collapsed="false">
      <c r="A1564" s="148" t="n">
        <v>41620</v>
      </c>
      <c r="B1564" s="37" t="n">
        <v>639.78369140625</v>
      </c>
    </row>
    <row r="1565" customFormat="false" ht="15" hidden="false" customHeight="false" outlineLevel="0" collapsed="false">
      <c r="A1565" s="148" t="n">
        <v>41621</v>
      </c>
      <c r="B1565" s="37" t="n">
        <v>619.790466308594</v>
      </c>
    </row>
    <row r="1566" customFormat="false" ht="15" hidden="false" customHeight="false" outlineLevel="0" collapsed="false">
      <c r="A1566" s="148" t="n">
        <v>41624</v>
      </c>
      <c r="B1566" s="37" t="n">
        <v>619.790466308594</v>
      </c>
    </row>
    <row r="1567" customFormat="false" ht="15" hidden="false" customHeight="false" outlineLevel="0" collapsed="false">
      <c r="A1567" s="148" t="n">
        <v>41625</v>
      </c>
      <c r="B1567" s="37" t="n">
        <v>634.785400390625</v>
      </c>
    </row>
    <row r="1568" customFormat="false" ht="15" hidden="false" customHeight="false" outlineLevel="0" collapsed="false">
      <c r="A1568" s="148" t="n">
        <v>41626</v>
      </c>
      <c r="B1568" s="37" t="n">
        <v>620.790161132813</v>
      </c>
    </row>
    <row r="1569" customFormat="false" ht="15" hidden="false" customHeight="false" outlineLevel="0" collapsed="false">
      <c r="A1569" s="148" t="n">
        <v>41627</v>
      </c>
      <c r="B1569" s="37" t="n">
        <v>649.780395507813</v>
      </c>
    </row>
    <row r="1570" customFormat="false" ht="15" hidden="false" customHeight="false" outlineLevel="0" collapsed="false">
      <c r="A1570" s="148" t="n">
        <v>41628</v>
      </c>
      <c r="B1570" s="37" t="n">
        <v>649.780395507813</v>
      </c>
    </row>
    <row r="1571" customFormat="false" ht="15" hidden="false" customHeight="false" outlineLevel="0" collapsed="false">
      <c r="A1571" s="148" t="n">
        <v>41631</v>
      </c>
      <c r="B1571" s="37" t="n">
        <v>649.780395507813</v>
      </c>
    </row>
    <row r="1572" customFormat="false" ht="15" hidden="false" customHeight="false" outlineLevel="0" collapsed="false">
      <c r="A1572" s="148" t="n">
        <v>41632</v>
      </c>
      <c r="B1572" s="37" t="n">
        <v>649.780395507813</v>
      </c>
    </row>
    <row r="1573" customFormat="false" ht="15" hidden="false" customHeight="false" outlineLevel="0" collapsed="false">
      <c r="A1573" s="148" t="n">
        <v>41633</v>
      </c>
      <c r="B1573" s="37" t="n">
        <v>649.780395507813</v>
      </c>
    </row>
    <row r="1574" customFormat="false" ht="15" hidden="false" customHeight="false" outlineLevel="0" collapsed="false">
      <c r="A1574" s="148" t="n">
        <v>41634</v>
      </c>
      <c r="B1574" s="37" t="n">
        <v>649.780395507813</v>
      </c>
    </row>
    <row r="1575" customFormat="false" ht="15" hidden="false" customHeight="false" outlineLevel="0" collapsed="false">
      <c r="A1575" s="148" t="n">
        <v>41635</v>
      </c>
      <c r="B1575" s="37" t="n">
        <v>648.780639648438</v>
      </c>
    </row>
    <row r="1576" customFormat="false" ht="15" hidden="false" customHeight="false" outlineLevel="0" collapsed="false">
      <c r="A1576" s="148" t="n">
        <v>41638</v>
      </c>
      <c r="B1576" s="37" t="n">
        <v>629.787109375</v>
      </c>
    </row>
    <row r="1577" customFormat="false" ht="15" hidden="false" customHeight="false" outlineLevel="0" collapsed="false">
      <c r="A1577" s="148" t="n">
        <v>41639</v>
      </c>
      <c r="B1577" s="37" t="n">
        <v>629.787109375</v>
      </c>
    </row>
    <row r="1578" customFormat="false" ht="15" hidden="false" customHeight="false" outlineLevel="0" collapsed="false">
      <c r="A1578" s="148" t="n">
        <v>41640</v>
      </c>
      <c r="B1578" s="37" t="n">
        <v>629.787109375</v>
      </c>
    </row>
    <row r="1579" customFormat="false" ht="15" hidden="false" customHeight="false" outlineLevel="0" collapsed="false">
      <c r="A1579" s="148" t="n">
        <v>41641</v>
      </c>
      <c r="B1579" s="37" t="n">
        <v>648.780639648438</v>
      </c>
    </row>
    <row r="1580" customFormat="false" ht="15" hidden="false" customHeight="false" outlineLevel="0" collapsed="false">
      <c r="A1580" s="148" t="n">
        <v>41642</v>
      </c>
      <c r="B1580" s="37" t="n">
        <v>636.784729003906</v>
      </c>
    </row>
    <row r="1581" customFormat="false" ht="15" hidden="false" customHeight="false" outlineLevel="0" collapsed="false">
      <c r="A1581" s="148" t="n">
        <v>41645</v>
      </c>
      <c r="B1581" s="37" t="n">
        <v>639.78369140625</v>
      </c>
    </row>
    <row r="1582" customFormat="false" ht="15" hidden="false" customHeight="false" outlineLevel="0" collapsed="false">
      <c r="A1582" s="148" t="n">
        <v>41646</v>
      </c>
      <c r="B1582" s="37" t="n">
        <v>644.782043457031</v>
      </c>
    </row>
    <row r="1583" customFormat="false" ht="15" hidden="false" customHeight="false" outlineLevel="0" collapsed="false">
      <c r="A1583" s="148" t="n">
        <v>41647</v>
      </c>
      <c r="B1583" s="37" t="n">
        <v>634.785400390625</v>
      </c>
    </row>
    <row r="1584" customFormat="false" ht="15" hidden="false" customHeight="false" outlineLevel="0" collapsed="false">
      <c r="A1584" s="148" t="n">
        <v>41648</v>
      </c>
      <c r="B1584" s="37" t="n">
        <v>639.78369140625</v>
      </c>
    </row>
    <row r="1585" customFormat="false" ht="15" hidden="false" customHeight="false" outlineLevel="0" collapsed="false">
      <c r="A1585" s="148" t="n">
        <v>41649</v>
      </c>
      <c r="B1585" s="37" t="n">
        <v>637.784423828125</v>
      </c>
    </row>
    <row r="1586" customFormat="false" ht="15" hidden="false" customHeight="false" outlineLevel="0" collapsed="false">
      <c r="A1586" s="148" t="n">
        <v>41652</v>
      </c>
      <c r="B1586" s="37" t="n">
        <v>630.283935546875</v>
      </c>
    </row>
    <row r="1587" customFormat="false" ht="15" hidden="false" customHeight="false" outlineLevel="0" collapsed="false">
      <c r="A1587" s="148" t="n">
        <v>41653</v>
      </c>
      <c r="B1587" s="37" t="n">
        <v>610.793518066406</v>
      </c>
    </row>
    <row r="1588" customFormat="false" ht="15" hidden="false" customHeight="false" outlineLevel="0" collapsed="false">
      <c r="A1588" s="148" t="n">
        <v>41654</v>
      </c>
      <c r="B1588" s="37" t="n">
        <v>623.789123535156</v>
      </c>
    </row>
    <row r="1589" customFormat="false" ht="15" hidden="false" customHeight="false" outlineLevel="0" collapsed="false">
      <c r="A1589" s="148" t="n">
        <v>41655</v>
      </c>
      <c r="B1589" s="37" t="n">
        <v>623.789123535156</v>
      </c>
    </row>
    <row r="1590" customFormat="false" ht="15" hidden="false" customHeight="false" outlineLevel="0" collapsed="false">
      <c r="A1590" s="148" t="n">
        <v>41656</v>
      </c>
      <c r="B1590" s="37" t="n">
        <v>609.793884277344</v>
      </c>
    </row>
    <row r="1591" customFormat="false" ht="15" hidden="false" customHeight="false" outlineLevel="0" collapsed="false">
      <c r="A1591" s="148" t="n">
        <v>41659</v>
      </c>
      <c r="B1591" s="37" t="n">
        <v>610.737487792969</v>
      </c>
    </row>
    <row r="1592" customFormat="false" ht="15" hidden="false" customHeight="false" outlineLevel="0" collapsed="false">
      <c r="A1592" s="148" t="n">
        <v>41660</v>
      </c>
      <c r="B1592" s="37" t="n">
        <v>607.209716796875</v>
      </c>
    </row>
    <row r="1593" customFormat="false" ht="15" hidden="false" customHeight="false" outlineLevel="0" collapsed="false">
      <c r="A1593" s="148" t="n">
        <v>41661</v>
      </c>
      <c r="B1593" s="37" t="n">
        <v>609.793884277344</v>
      </c>
    </row>
    <row r="1594" customFormat="false" ht="15" hidden="false" customHeight="false" outlineLevel="0" collapsed="false">
      <c r="A1594" s="148" t="n">
        <v>41662</v>
      </c>
      <c r="B1594" s="37" t="n">
        <v>624.345947265625</v>
      </c>
    </row>
    <row r="1595" customFormat="false" ht="15" hidden="false" customHeight="false" outlineLevel="0" collapsed="false">
      <c r="A1595" s="148" t="n">
        <v>41663</v>
      </c>
      <c r="B1595" s="37" t="n">
        <v>615.791809082031</v>
      </c>
    </row>
    <row r="1596" customFormat="false" ht="15" hidden="false" customHeight="false" outlineLevel="0" collapsed="false">
      <c r="A1596" s="148" t="n">
        <v>41666</v>
      </c>
      <c r="B1596" s="37" t="n">
        <v>619.790466308594</v>
      </c>
    </row>
    <row r="1597" customFormat="false" ht="15" hidden="false" customHeight="false" outlineLevel="0" collapsed="false">
      <c r="A1597" s="148" t="n">
        <v>41667</v>
      </c>
      <c r="B1597" s="37" t="n">
        <v>609.793884277344</v>
      </c>
    </row>
    <row r="1598" customFormat="false" ht="15" hidden="false" customHeight="false" outlineLevel="0" collapsed="false">
      <c r="A1598" s="148" t="n">
        <v>41668</v>
      </c>
      <c r="B1598" s="37" t="n">
        <v>614.792175292969</v>
      </c>
    </row>
    <row r="1599" customFormat="false" ht="15" hidden="false" customHeight="false" outlineLevel="0" collapsed="false">
      <c r="A1599" s="148" t="n">
        <v>41669</v>
      </c>
      <c r="B1599" s="37" t="n">
        <v>637.002685546875</v>
      </c>
    </row>
    <row r="1600" customFormat="false" ht="15" hidden="false" customHeight="false" outlineLevel="0" collapsed="false">
      <c r="A1600" s="148" t="n">
        <v>41670</v>
      </c>
      <c r="B1600" s="37" t="n">
        <v>632.7861328125</v>
      </c>
    </row>
    <row r="1601" customFormat="false" ht="15" hidden="false" customHeight="false" outlineLevel="0" collapsed="false">
      <c r="A1601" s="148" t="n">
        <v>41673</v>
      </c>
      <c r="B1601" s="37" t="n">
        <v>611.793212890625</v>
      </c>
    </row>
    <row r="1602" customFormat="false" ht="15" hidden="false" customHeight="false" outlineLevel="0" collapsed="false">
      <c r="A1602" s="148" t="n">
        <v>41674</v>
      </c>
      <c r="B1602" s="37" t="n">
        <v>621.789794921875</v>
      </c>
    </row>
    <row r="1603" customFormat="false" ht="15" hidden="false" customHeight="false" outlineLevel="0" collapsed="false">
      <c r="A1603" s="148" t="n">
        <v>41675</v>
      </c>
      <c r="B1603" s="37" t="n">
        <v>629.787109375</v>
      </c>
    </row>
    <row r="1604" customFormat="false" ht="15" hidden="false" customHeight="false" outlineLevel="0" collapsed="false">
      <c r="A1604" s="148" t="n">
        <v>41676</v>
      </c>
      <c r="B1604" s="37" t="n">
        <v>629.211303710938</v>
      </c>
    </row>
    <row r="1605" customFormat="false" ht="15" hidden="false" customHeight="false" outlineLevel="0" collapsed="false">
      <c r="A1605" s="148" t="n">
        <v>41677</v>
      </c>
      <c r="B1605" s="37" t="n">
        <v>624.788818359375</v>
      </c>
    </row>
    <row r="1606" customFormat="false" ht="15" hidden="false" customHeight="false" outlineLevel="0" collapsed="false">
      <c r="A1606" s="148" t="n">
        <v>41680</v>
      </c>
      <c r="B1606" s="37" t="n">
        <v>619.790466308594</v>
      </c>
    </row>
    <row r="1607" customFormat="false" ht="15" hidden="false" customHeight="false" outlineLevel="0" collapsed="false">
      <c r="A1607" s="148" t="n">
        <v>41681</v>
      </c>
      <c r="B1607" s="37" t="n">
        <v>629.787109375</v>
      </c>
    </row>
    <row r="1608" customFormat="false" ht="15" hidden="false" customHeight="false" outlineLevel="0" collapsed="false">
      <c r="A1608" s="148" t="n">
        <v>41682</v>
      </c>
      <c r="B1608" s="37" t="n">
        <v>636.784729003906</v>
      </c>
    </row>
    <row r="1609" customFormat="false" ht="15" hidden="false" customHeight="false" outlineLevel="0" collapsed="false">
      <c r="A1609" s="148" t="n">
        <v>41683</v>
      </c>
      <c r="B1609" s="37" t="n">
        <v>635.785034179688</v>
      </c>
    </row>
    <row r="1610" customFormat="false" ht="15" hidden="false" customHeight="false" outlineLevel="0" collapsed="false">
      <c r="A1610" s="148" t="n">
        <v>41684</v>
      </c>
      <c r="B1610" s="37" t="n">
        <v>630.786743164063</v>
      </c>
    </row>
    <row r="1611" customFormat="false" ht="15" hidden="false" customHeight="false" outlineLevel="0" collapsed="false">
      <c r="A1611" s="148" t="n">
        <v>41687</v>
      </c>
      <c r="B1611" s="37" t="n">
        <v>619.790466308594</v>
      </c>
    </row>
    <row r="1612" customFormat="false" ht="15" hidden="false" customHeight="false" outlineLevel="0" collapsed="false">
      <c r="A1612" s="148" t="n">
        <v>41688</v>
      </c>
      <c r="B1612" s="37" t="n">
        <v>614.792175292969</v>
      </c>
    </row>
    <row r="1613" customFormat="false" ht="15" hidden="false" customHeight="false" outlineLevel="0" collapsed="false">
      <c r="A1613" s="148" t="n">
        <v>41689</v>
      </c>
      <c r="B1613" s="37" t="n">
        <v>636.784729003906</v>
      </c>
    </row>
    <row r="1614" customFormat="false" ht="15" hidden="false" customHeight="false" outlineLevel="0" collapsed="false">
      <c r="A1614" s="148" t="n">
        <v>41690</v>
      </c>
      <c r="B1614" s="37" t="n">
        <v>659.776977539063</v>
      </c>
    </row>
    <row r="1615" customFormat="false" ht="15" hidden="false" customHeight="false" outlineLevel="0" collapsed="false">
      <c r="A1615" s="148" t="n">
        <v>41691</v>
      </c>
      <c r="B1615" s="37" t="n">
        <v>748.746887207031</v>
      </c>
    </row>
    <row r="1616" customFormat="false" ht="15" hidden="false" customHeight="false" outlineLevel="0" collapsed="false">
      <c r="A1616" s="148" t="n">
        <v>41694</v>
      </c>
      <c r="B1616" s="37" t="n">
        <v>655.7783203125</v>
      </c>
    </row>
    <row r="1617" customFormat="false" ht="15" hidden="false" customHeight="false" outlineLevel="0" collapsed="false">
      <c r="A1617" s="148" t="n">
        <v>41695</v>
      </c>
      <c r="B1617" s="37" t="n">
        <v>655.7783203125</v>
      </c>
    </row>
    <row r="1618" customFormat="false" ht="15" hidden="false" customHeight="false" outlineLevel="0" collapsed="false">
      <c r="A1618" s="148" t="n">
        <v>41696</v>
      </c>
      <c r="B1618" s="37" t="n">
        <v>686.767822265625</v>
      </c>
    </row>
    <row r="1619" customFormat="false" ht="15" hidden="false" customHeight="false" outlineLevel="0" collapsed="false">
      <c r="A1619" s="148" t="n">
        <v>41697</v>
      </c>
      <c r="B1619" s="37" t="n">
        <v>683.768859863281</v>
      </c>
    </row>
    <row r="1620" customFormat="false" ht="15" hidden="false" customHeight="false" outlineLevel="0" collapsed="false">
      <c r="A1620" s="148" t="n">
        <v>41698</v>
      </c>
      <c r="B1620" s="37" t="n">
        <v>687.767517089844</v>
      </c>
    </row>
    <row r="1621" customFormat="false" ht="15" hidden="false" customHeight="false" outlineLevel="0" collapsed="false">
      <c r="A1621" s="148" t="n">
        <v>41701</v>
      </c>
      <c r="B1621" s="37" t="n">
        <v>685.768188476563</v>
      </c>
    </row>
    <row r="1622" customFormat="false" ht="15" hidden="false" customHeight="false" outlineLevel="0" collapsed="false">
      <c r="A1622" s="148" t="n">
        <v>41702</v>
      </c>
      <c r="B1622" s="37" t="n">
        <v>683.768859863281</v>
      </c>
    </row>
    <row r="1623" customFormat="false" ht="15" hidden="false" customHeight="false" outlineLevel="0" collapsed="false">
      <c r="A1623" s="148" t="n">
        <v>41703</v>
      </c>
      <c r="B1623" s="37" t="n">
        <v>684.7685546875</v>
      </c>
    </row>
    <row r="1624" customFormat="false" ht="15" hidden="false" customHeight="false" outlineLevel="0" collapsed="false">
      <c r="A1624" s="148" t="n">
        <v>41704</v>
      </c>
      <c r="B1624" s="37" t="n">
        <v>683.768859863281</v>
      </c>
    </row>
    <row r="1625" customFormat="false" ht="15" hidden="false" customHeight="false" outlineLevel="0" collapsed="false">
      <c r="A1625" s="148" t="n">
        <v>41705</v>
      </c>
      <c r="B1625" s="37" t="n">
        <v>679.770202636719</v>
      </c>
    </row>
    <row r="1626" customFormat="false" ht="15" hidden="false" customHeight="false" outlineLevel="0" collapsed="false">
      <c r="A1626" s="148" t="n">
        <v>41708</v>
      </c>
      <c r="B1626" s="37" t="n">
        <v>673.772216796875</v>
      </c>
    </row>
    <row r="1627" customFormat="false" ht="15" hidden="false" customHeight="false" outlineLevel="0" collapsed="false">
      <c r="A1627" s="148" t="n">
        <v>41709</v>
      </c>
      <c r="B1627" s="37" t="n">
        <v>679.770202636719</v>
      </c>
    </row>
    <row r="1628" customFormat="false" ht="15" hidden="false" customHeight="false" outlineLevel="0" collapsed="false">
      <c r="A1628" s="148" t="n">
        <v>41710</v>
      </c>
      <c r="B1628" s="37" t="n">
        <v>683.768859863281</v>
      </c>
    </row>
    <row r="1629" customFormat="false" ht="15" hidden="false" customHeight="false" outlineLevel="0" collapsed="false">
      <c r="A1629" s="148" t="n">
        <v>41711</v>
      </c>
      <c r="B1629" s="37" t="n">
        <v>684.7685546875</v>
      </c>
    </row>
    <row r="1630" customFormat="false" ht="15" hidden="false" customHeight="false" outlineLevel="0" collapsed="false">
      <c r="A1630" s="148" t="n">
        <v>41712</v>
      </c>
      <c r="B1630" s="37" t="n">
        <v>679.770202636719</v>
      </c>
    </row>
    <row r="1631" customFormat="false" ht="15" hidden="false" customHeight="false" outlineLevel="0" collapsed="false">
      <c r="A1631" s="148" t="n">
        <v>41715</v>
      </c>
      <c r="B1631" s="37" t="n">
        <v>684.7685546875</v>
      </c>
    </row>
    <row r="1632" customFormat="false" ht="15" hidden="false" customHeight="false" outlineLevel="0" collapsed="false">
      <c r="A1632" s="148" t="n">
        <v>41716</v>
      </c>
      <c r="B1632" s="37" t="n">
        <v>679.770202636719</v>
      </c>
    </row>
    <row r="1633" customFormat="false" ht="15" hidden="false" customHeight="false" outlineLevel="0" collapsed="false">
      <c r="A1633" s="148" t="n">
        <v>41717</v>
      </c>
      <c r="B1633" s="37" t="n">
        <v>672.772583007813</v>
      </c>
    </row>
    <row r="1634" customFormat="false" ht="15" hidden="false" customHeight="false" outlineLevel="0" collapsed="false">
      <c r="A1634" s="148" t="n">
        <v>41718</v>
      </c>
      <c r="B1634" s="37" t="n">
        <v>673.833190917969</v>
      </c>
    </row>
    <row r="1635" customFormat="false" ht="15" hidden="false" customHeight="false" outlineLevel="0" collapsed="false">
      <c r="A1635" s="148" t="n">
        <v>41719</v>
      </c>
      <c r="B1635" s="37" t="n">
        <v>673.833190917969</v>
      </c>
    </row>
    <row r="1636" customFormat="false" ht="15" hidden="false" customHeight="false" outlineLevel="0" collapsed="false">
      <c r="A1636" s="148" t="n">
        <v>41722</v>
      </c>
      <c r="B1636" s="37" t="n">
        <v>679.770202636719</v>
      </c>
    </row>
    <row r="1637" customFormat="false" ht="15" hidden="false" customHeight="false" outlineLevel="0" collapsed="false">
      <c r="A1637" s="148" t="n">
        <v>41723</v>
      </c>
      <c r="B1637" s="37" t="n">
        <v>679.770202636719</v>
      </c>
    </row>
    <row r="1638" customFormat="false" ht="15" hidden="false" customHeight="false" outlineLevel="0" collapsed="false">
      <c r="A1638" s="148" t="n">
        <v>41724</v>
      </c>
      <c r="B1638" s="37" t="n">
        <v>679.770202636719</v>
      </c>
    </row>
    <row r="1639" customFormat="false" ht="15" hidden="false" customHeight="false" outlineLevel="0" collapsed="false">
      <c r="A1639" s="148" t="n">
        <v>41725</v>
      </c>
      <c r="B1639" s="37" t="n">
        <v>669.773559570313</v>
      </c>
    </row>
    <row r="1640" customFormat="false" ht="15" hidden="false" customHeight="false" outlineLevel="0" collapsed="false">
      <c r="A1640" s="148" t="n">
        <v>41726</v>
      </c>
      <c r="B1640" s="37" t="n">
        <v>669.773559570313</v>
      </c>
    </row>
    <row r="1641" customFormat="false" ht="15" hidden="false" customHeight="false" outlineLevel="0" collapsed="false">
      <c r="A1641" s="148" t="n">
        <v>41729</v>
      </c>
      <c r="B1641" s="37" t="n">
        <v>688.767150878906</v>
      </c>
    </row>
    <row r="1642" customFormat="false" ht="15" hidden="false" customHeight="false" outlineLevel="0" collapsed="false">
      <c r="A1642" s="148" t="n">
        <v>41730</v>
      </c>
      <c r="B1642" s="37" t="n">
        <v>679.770202636719</v>
      </c>
    </row>
    <row r="1643" customFormat="false" ht="15" hidden="false" customHeight="false" outlineLevel="0" collapsed="false">
      <c r="A1643" s="148" t="n">
        <v>41731</v>
      </c>
      <c r="B1643" s="37" t="n">
        <v>684.7685546875</v>
      </c>
    </row>
    <row r="1644" customFormat="false" ht="15" hidden="false" customHeight="false" outlineLevel="0" collapsed="false">
      <c r="A1644" s="148" t="n">
        <v>41732</v>
      </c>
      <c r="B1644" s="37" t="n">
        <v>679.770202636719</v>
      </c>
    </row>
    <row r="1645" customFormat="false" ht="15" hidden="false" customHeight="false" outlineLevel="0" collapsed="false">
      <c r="A1645" s="148" t="n">
        <v>41733</v>
      </c>
      <c r="B1645" s="37" t="n">
        <v>679.770202636719</v>
      </c>
    </row>
    <row r="1646" customFormat="false" ht="15" hidden="false" customHeight="false" outlineLevel="0" collapsed="false">
      <c r="A1646" s="148" t="n">
        <v>41736</v>
      </c>
      <c r="B1646" s="37" t="n">
        <v>679.770202636719</v>
      </c>
    </row>
    <row r="1647" customFormat="false" ht="15" hidden="false" customHeight="false" outlineLevel="0" collapsed="false">
      <c r="A1647" s="148" t="n">
        <v>41737</v>
      </c>
      <c r="B1647" s="37" t="n">
        <v>684.7685546875</v>
      </c>
    </row>
    <row r="1648" customFormat="false" ht="15" hidden="false" customHeight="false" outlineLevel="0" collapsed="false">
      <c r="A1648" s="148" t="n">
        <v>41738</v>
      </c>
      <c r="B1648" s="37" t="n">
        <v>714.758361816406</v>
      </c>
    </row>
    <row r="1649" customFormat="false" ht="15" hidden="false" customHeight="false" outlineLevel="0" collapsed="false">
      <c r="A1649" s="148" t="n">
        <v>41739</v>
      </c>
      <c r="B1649" s="37" t="n">
        <v>709.760070800781</v>
      </c>
    </row>
    <row r="1650" customFormat="false" ht="15" hidden="false" customHeight="false" outlineLevel="0" collapsed="false">
      <c r="A1650" s="148" t="n">
        <v>41740</v>
      </c>
      <c r="B1650" s="37" t="n">
        <v>699.763427734375</v>
      </c>
    </row>
    <row r="1651" customFormat="false" ht="15" hidden="false" customHeight="false" outlineLevel="0" collapsed="false">
      <c r="A1651" s="148" t="n">
        <v>41743</v>
      </c>
      <c r="B1651" s="37" t="n">
        <v>699.763427734375</v>
      </c>
    </row>
    <row r="1652" customFormat="false" ht="15" hidden="false" customHeight="false" outlineLevel="0" collapsed="false">
      <c r="A1652" s="148" t="n">
        <v>41744</v>
      </c>
      <c r="B1652" s="37" t="n">
        <v>713.758728027344</v>
      </c>
    </row>
    <row r="1653" customFormat="false" ht="15" hidden="false" customHeight="false" outlineLevel="0" collapsed="false">
      <c r="A1653" s="148" t="n">
        <v>41745</v>
      </c>
      <c r="B1653" s="37" t="n">
        <v>699.763427734375</v>
      </c>
    </row>
    <row r="1654" customFormat="false" ht="15" hidden="false" customHeight="false" outlineLevel="0" collapsed="false">
      <c r="A1654" s="148" t="n">
        <v>41746</v>
      </c>
      <c r="B1654" s="37" t="n">
        <v>699.763427734375</v>
      </c>
    </row>
    <row r="1655" customFormat="false" ht="15" hidden="false" customHeight="false" outlineLevel="0" collapsed="false">
      <c r="A1655" s="148" t="n">
        <v>41747</v>
      </c>
      <c r="B1655" s="37" t="n">
        <v>699.763427734375</v>
      </c>
    </row>
    <row r="1656" customFormat="false" ht="15" hidden="false" customHeight="false" outlineLevel="0" collapsed="false">
      <c r="A1656" s="148" t="n">
        <v>41750</v>
      </c>
      <c r="B1656" s="37" t="n">
        <v>699.763427734375</v>
      </c>
    </row>
    <row r="1657" customFormat="false" ht="15" hidden="false" customHeight="false" outlineLevel="0" collapsed="false">
      <c r="A1657" s="148" t="n">
        <v>41751</v>
      </c>
      <c r="B1657" s="37" t="n">
        <v>665.77490234375</v>
      </c>
    </row>
    <row r="1658" customFormat="false" ht="15" hidden="false" customHeight="false" outlineLevel="0" collapsed="false">
      <c r="A1658" s="148" t="n">
        <v>41752</v>
      </c>
      <c r="B1658" s="37" t="n">
        <v>679.770202636719</v>
      </c>
    </row>
    <row r="1659" customFormat="false" ht="15" hidden="false" customHeight="false" outlineLevel="0" collapsed="false">
      <c r="A1659" s="148" t="n">
        <v>41753</v>
      </c>
      <c r="B1659" s="37" t="n">
        <v>669.773559570313</v>
      </c>
    </row>
    <row r="1660" customFormat="false" ht="15" hidden="false" customHeight="false" outlineLevel="0" collapsed="false">
      <c r="A1660" s="148" t="n">
        <v>41754</v>
      </c>
      <c r="B1660" s="37" t="n">
        <v>689.766845703125</v>
      </c>
    </row>
    <row r="1661" customFormat="false" ht="15" hidden="false" customHeight="false" outlineLevel="0" collapsed="false">
      <c r="A1661" s="148" t="n">
        <v>41757</v>
      </c>
      <c r="B1661" s="37" t="n">
        <v>689.766845703125</v>
      </c>
    </row>
    <row r="1662" customFormat="false" ht="15" hidden="false" customHeight="false" outlineLevel="0" collapsed="false">
      <c r="A1662" s="148" t="n">
        <v>41758</v>
      </c>
      <c r="B1662" s="37" t="n">
        <v>679.770202636719</v>
      </c>
    </row>
    <row r="1663" customFormat="false" ht="15" hidden="false" customHeight="false" outlineLevel="0" collapsed="false">
      <c r="A1663" s="148" t="n">
        <v>41759</v>
      </c>
      <c r="B1663" s="37" t="n">
        <v>684.7685546875</v>
      </c>
    </row>
    <row r="1664" customFormat="false" ht="15" hidden="false" customHeight="false" outlineLevel="0" collapsed="false">
      <c r="A1664" s="148" t="n">
        <v>41760</v>
      </c>
      <c r="B1664" s="37" t="n">
        <v>684.7685546875</v>
      </c>
    </row>
    <row r="1665" customFormat="false" ht="15" hidden="false" customHeight="false" outlineLevel="0" collapsed="false">
      <c r="A1665" s="148" t="n">
        <v>41761</v>
      </c>
      <c r="B1665" s="37" t="n">
        <v>679.770202636719</v>
      </c>
    </row>
    <row r="1666" customFormat="false" ht="15" hidden="false" customHeight="false" outlineLevel="0" collapsed="false">
      <c r="A1666" s="148" t="n">
        <v>41764</v>
      </c>
      <c r="B1666" s="37" t="n">
        <v>685.768188476563</v>
      </c>
    </row>
    <row r="1667" customFormat="false" ht="15" hidden="false" customHeight="false" outlineLevel="0" collapsed="false">
      <c r="A1667" s="148" t="n">
        <v>41765</v>
      </c>
      <c r="B1667" s="37" t="n">
        <v>699.763427734375</v>
      </c>
    </row>
    <row r="1668" customFormat="false" ht="15" hidden="false" customHeight="false" outlineLevel="0" collapsed="false">
      <c r="A1668" s="148" t="n">
        <v>41766</v>
      </c>
      <c r="B1668" s="37" t="n">
        <v>699.763427734375</v>
      </c>
    </row>
    <row r="1669" customFormat="false" ht="15" hidden="false" customHeight="false" outlineLevel="0" collapsed="false">
      <c r="A1669" s="148" t="n">
        <v>41767</v>
      </c>
      <c r="B1669" s="37" t="n">
        <v>699.763427734375</v>
      </c>
    </row>
    <row r="1670" customFormat="false" ht="15" hidden="false" customHeight="false" outlineLevel="0" collapsed="false">
      <c r="A1670" s="148" t="n">
        <v>41768</v>
      </c>
      <c r="B1670" s="37" t="n">
        <v>700.763122558594</v>
      </c>
    </row>
    <row r="1671" customFormat="false" ht="15" hidden="false" customHeight="false" outlineLevel="0" collapsed="false">
      <c r="A1671" s="148" t="n">
        <v>41771</v>
      </c>
      <c r="B1671" s="37" t="n">
        <v>719.756652832031</v>
      </c>
    </row>
    <row r="1672" customFormat="false" ht="15" hidden="false" customHeight="false" outlineLevel="0" collapsed="false">
      <c r="A1672" s="148" t="n">
        <v>41772</v>
      </c>
      <c r="B1672" s="37" t="n">
        <v>719.756652832031</v>
      </c>
    </row>
    <row r="1673" customFormat="false" ht="15" hidden="false" customHeight="false" outlineLevel="0" collapsed="false">
      <c r="A1673" s="148" t="n">
        <v>41773</v>
      </c>
      <c r="B1673" s="37" t="n">
        <v>719.756652832031</v>
      </c>
    </row>
    <row r="1674" customFormat="false" ht="15" hidden="false" customHeight="false" outlineLevel="0" collapsed="false">
      <c r="A1674" s="148" t="n">
        <v>41774</v>
      </c>
      <c r="B1674" s="37" t="n">
        <v>730.752990722656</v>
      </c>
    </row>
    <row r="1675" customFormat="false" ht="15" hidden="false" customHeight="false" outlineLevel="0" collapsed="false">
      <c r="A1675" s="148" t="n">
        <v>41775</v>
      </c>
      <c r="B1675" s="37" t="n">
        <v>759.7431640625</v>
      </c>
    </row>
    <row r="1676" customFormat="false" ht="15" hidden="false" customHeight="false" outlineLevel="0" collapsed="false">
      <c r="A1676" s="148" t="n">
        <v>41778</v>
      </c>
      <c r="B1676" s="37" t="n">
        <v>794.731323242188</v>
      </c>
    </row>
    <row r="1677" customFormat="false" ht="15" hidden="false" customHeight="false" outlineLevel="0" collapsed="false">
      <c r="A1677" s="148" t="n">
        <v>41779</v>
      </c>
      <c r="B1677" s="37" t="n">
        <v>819.722900390625</v>
      </c>
    </row>
    <row r="1678" customFormat="false" ht="15" hidden="false" customHeight="false" outlineLevel="0" collapsed="false">
      <c r="A1678" s="148" t="n">
        <v>41780</v>
      </c>
      <c r="B1678" s="37" t="n">
        <v>814.724609375</v>
      </c>
    </row>
    <row r="1679" customFormat="false" ht="15" hidden="false" customHeight="false" outlineLevel="0" collapsed="false">
      <c r="A1679" s="148" t="n">
        <v>41781</v>
      </c>
      <c r="B1679" s="37" t="n">
        <v>809.726318359375</v>
      </c>
    </row>
    <row r="1680" customFormat="false" ht="15" hidden="false" customHeight="false" outlineLevel="0" collapsed="false">
      <c r="A1680" s="148" t="n">
        <v>41782</v>
      </c>
      <c r="B1680" s="37" t="n">
        <v>770.739440917969</v>
      </c>
    </row>
    <row r="1681" customFormat="false" ht="15" hidden="false" customHeight="false" outlineLevel="0" collapsed="false">
      <c r="A1681" s="148" t="n">
        <v>41785</v>
      </c>
      <c r="B1681" s="37" t="n">
        <v>799.729614257813</v>
      </c>
    </row>
    <row r="1682" customFormat="false" ht="15" hidden="false" customHeight="false" outlineLevel="0" collapsed="false">
      <c r="A1682" s="148" t="n">
        <v>41786</v>
      </c>
      <c r="B1682" s="37" t="n">
        <v>784.734741210938</v>
      </c>
    </row>
    <row r="1683" customFormat="false" ht="15" hidden="false" customHeight="false" outlineLevel="0" collapsed="false">
      <c r="A1683" s="148" t="n">
        <v>41787</v>
      </c>
      <c r="B1683" s="37" t="n">
        <v>787.733703613281</v>
      </c>
    </row>
    <row r="1684" customFormat="false" ht="15" hidden="false" customHeight="false" outlineLevel="0" collapsed="false">
      <c r="A1684" s="148" t="n">
        <v>41788</v>
      </c>
      <c r="B1684" s="37" t="n">
        <v>819.722900390625</v>
      </c>
    </row>
    <row r="1685" customFormat="false" ht="15" hidden="false" customHeight="false" outlineLevel="0" collapsed="false">
      <c r="A1685" s="148" t="n">
        <v>41789</v>
      </c>
      <c r="B1685" s="37" t="n">
        <v>820.722534179688</v>
      </c>
    </row>
    <row r="1686" customFormat="false" ht="15" hidden="false" customHeight="false" outlineLevel="0" collapsed="false">
      <c r="A1686" s="148" t="n">
        <v>41792</v>
      </c>
      <c r="B1686" s="37" t="n">
        <v>809.726318359375</v>
      </c>
    </row>
    <row r="1687" customFormat="false" ht="15" hidden="false" customHeight="false" outlineLevel="0" collapsed="false">
      <c r="A1687" s="148" t="n">
        <v>41793</v>
      </c>
      <c r="B1687" s="37" t="n">
        <v>819.722900390625</v>
      </c>
    </row>
    <row r="1688" customFormat="false" ht="15" hidden="false" customHeight="false" outlineLevel="0" collapsed="false">
      <c r="A1688" s="148" t="n">
        <v>41794</v>
      </c>
      <c r="B1688" s="37" t="n">
        <v>824.72119140625</v>
      </c>
    </row>
    <row r="1689" customFormat="false" ht="15" hidden="false" customHeight="false" outlineLevel="0" collapsed="false">
      <c r="A1689" s="148" t="n">
        <v>41795</v>
      </c>
      <c r="B1689" s="37" t="n">
        <v>819.722900390625</v>
      </c>
    </row>
    <row r="1690" customFormat="false" ht="15" hidden="false" customHeight="false" outlineLevel="0" collapsed="false">
      <c r="A1690" s="148" t="n">
        <v>41796</v>
      </c>
      <c r="B1690" s="37" t="n">
        <v>819.722900390625</v>
      </c>
    </row>
    <row r="1691" customFormat="false" ht="15" hidden="false" customHeight="false" outlineLevel="0" collapsed="false">
      <c r="A1691" s="148" t="n">
        <v>41799</v>
      </c>
      <c r="B1691" s="37" t="n">
        <v>819.722900390625</v>
      </c>
    </row>
    <row r="1692" customFormat="false" ht="15" hidden="false" customHeight="false" outlineLevel="0" collapsed="false">
      <c r="A1692" s="148" t="n">
        <v>41800</v>
      </c>
      <c r="B1692" s="37" t="n">
        <v>799.729614257813</v>
      </c>
    </row>
    <row r="1693" customFormat="false" ht="15" hidden="false" customHeight="false" outlineLevel="0" collapsed="false">
      <c r="A1693" s="148" t="n">
        <v>41801</v>
      </c>
      <c r="B1693" s="37" t="n">
        <v>794.731323242188</v>
      </c>
    </row>
    <row r="1694" customFormat="false" ht="15" hidden="false" customHeight="false" outlineLevel="0" collapsed="false">
      <c r="A1694" s="148" t="n">
        <v>41802</v>
      </c>
      <c r="B1694" s="37" t="n">
        <v>816.723876953125</v>
      </c>
    </row>
    <row r="1695" customFormat="false" ht="15" hidden="false" customHeight="false" outlineLevel="0" collapsed="false">
      <c r="A1695" s="148" t="n">
        <v>41803</v>
      </c>
      <c r="B1695" s="37" t="n">
        <v>799.729614257813</v>
      </c>
    </row>
    <row r="1696" customFormat="false" ht="15" hidden="false" customHeight="false" outlineLevel="0" collapsed="false">
      <c r="A1696" s="148" t="n">
        <v>41806</v>
      </c>
      <c r="B1696" s="37" t="n">
        <v>799.729614257813</v>
      </c>
    </row>
    <row r="1697" customFormat="false" ht="15" hidden="false" customHeight="false" outlineLevel="0" collapsed="false">
      <c r="A1697" s="148" t="n">
        <v>41807</v>
      </c>
      <c r="B1697" s="37" t="n">
        <v>821.72216796875</v>
      </c>
    </row>
    <row r="1698" customFormat="false" ht="15" hidden="false" customHeight="false" outlineLevel="0" collapsed="false">
      <c r="A1698" s="148" t="n">
        <v>41808</v>
      </c>
      <c r="B1698" s="37" t="n">
        <v>831.718872070313</v>
      </c>
    </row>
    <row r="1699" customFormat="false" ht="15" hidden="false" customHeight="false" outlineLevel="0" collapsed="false">
      <c r="A1699" s="148" t="n">
        <v>41809</v>
      </c>
      <c r="B1699" s="37" t="n">
        <v>827.72021484375</v>
      </c>
    </row>
    <row r="1700" customFormat="false" ht="15" hidden="false" customHeight="false" outlineLevel="0" collapsed="false">
      <c r="A1700" s="148" t="n">
        <v>41810</v>
      </c>
      <c r="B1700" s="37" t="n">
        <v>819.722900390625</v>
      </c>
    </row>
    <row r="1701" customFormat="false" ht="15" hidden="false" customHeight="false" outlineLevel="0" collapsed="false">
      <c r="A1701" s="148" t="n">
        <v>41813</v>
      </c>
      <c r="B1701" s="37" t="n">
        <v>819.722900390625</v>
      </c>
    </row>
    <row r="1702" customFormat="false" ht="15" hidden="false" customHeight="false" outlineLevel="0" collapsed="false">
      <c r="A1702" s="148" t="n">
        <v>41814</v>
      </c>
      <c r="B1702" s="37" t="n">
        <v>819.722900390625</v>
      </c>
    </row>
    <row r="1703" customFormat="false" ht="15" hidden="false" customHeight="false" outlineLevel="0" collapsed="false">
      <c r="A1703" s="148" t="n">
        <v>41815</v>
      </c>
      <c r="B1703" s="37" t="n">
        <v>819.192993164063</v>
      </c>
    </row>
    <row r="1704" customFormat="false" ht="15" hidden="false" customHeight="false" outlineLevel="0" collapsed="false">
      <c r="A1704" s="148" t="n">
        <v>41816</v>
      </c>
      <c r="B1704" s="37" t="n">
        <v>819.509033203125</v>
      </c>
    </row>
    <row r="1705" customFormat="false" ht="15" hidden="false" customHeight="false" outlineLevel="0" collapsed="false">
      <c r="A1705" s="148" t="n">
        <v>41817</v>
      </c>
      <c r="B1705" s="37" t="n">
        <v>823.721557617188</v>
      </c>
    </row>
    <row r="1706" customFormat="false" ht="15" hidden="false" customHeight="false" outlineLevel="0" collapsed="false">
      <c r="A1706" s="148" t="n">
        <v>41820</v>
      </c>
      <c r="B1706" s="37" t="n">
        <v>834.717834472656</v>
      </c>
    </row>
    <row r="1707" customFormat="false" ht="15" hidden="false" customHeight="false" outlineLevel="0" collapsed="false">
      <c r="A1707" s="148" t="n">
        <v>41821</v>
      </c>
      <c r="B1707" s="37" t="n">
        <v>819.722900390625</v>
      </c>
    </row>
    <row r="1708" customFormat="false" ht="15" hidden="false" customHeight="false" outlineLevel="0" collapsed="false">
      <c r="A1708" s="148" t="n">
        <v>41822</v>
      </c>
      <c r="B1708" s="37" t="n">
        <v>819.722900390625</v>
      </c>
    </row>
    <row r="1709" customFormat="false" ht="15" hidden="false" customHeight="false" outlineLevel="0" collapsed="false">
      <c r="A1709" s="148" t="n">
        <v>41823</v>
      </c>
      <c r="B1709" s="37" t="n">
        <v>819.722900390625</v>
      </c>
    </row>
    <row r="1710" customFormat="false" ht="15" hidden="false" customHeight="false" outlineLevel="0" collapsed="false">
      <c r="A1710" s="148" t="n">
        <v>41824</v>
      </c>
      <c r="B1710" s="37" t="n">
        <v>819.722900390625</v>
      </c>
    </row>
    <row r="1711" customFormat="false" ht="15" hidden="false" customHeight="false" outlineLevel="0" collapsed="false">
      <c r="A1711" s="148" t="n">
        <v>41827</v>
      </c>
      <c r="B1711" s="37" t="n">
        <v>819.722900390625</v>
      </c>
    </row>
    <row r="1712" customFormat="false" ht="15" hidden="false" customHeight="false" outlineLevel="0" collapsed="false">
      <c r="A1712" s="148" t="n">
        <v>41828</v>
      </c>
      <c r="B1712" s="37" t="n">
        <v>824.72119140625</v>
      </c>
    </row>
    <row r="1713" customFormat="false" ht="15" hidden="false" customHeight="false" outlineLevel="0" collapsed="false">
      <c r="A1713" s="148" t="n">
        <v>41829</v>
      </c>
      <c r="B1713" s="37" t="n">
        <v>819.722900390625</v>
      </c>
    </row>
    <row r="1714" customFormat="false" ht="15" hidden="false" customHeight="false" outlineLevel="0" collapsed="false">
      <c r="A1714" s="148" t="n">
        <v>41830</v>
      </c>
      <c r="B1714" s="37" t="n">
        <v>819.722900390625</v>
      </c>
    </row>
    <row r="1715" customFormat="false" ht="15" hidden="false" customHeight="false" outlineLevel="0" collapsed="false">
      <c r="A1715" s="148" t="n">
        <v>41831</v>
      </c>
      <c r="B1715" s="37" t="n">
        <v>823.721557617188</v>
      </c>
    </row>
    <row r="1716" customFormat="false" ht="15" hidden="false" customHeight="false" outlineLevel="0" collapsed="false">
      <c r="A1716" s="148" t="n">
        <v>41834</v>
      </c>
      <c r="B1716" s="37" t="n">
        <v>829.719482421875</v>
      </c>
    </row>
    <row r="1717" customFormat="false" ht="15" hidden="false" customHeight="false" outlineLevel="0" collapsed="false">
      <c r="A1717" s="148" t="n">
        <v>41835</v>
      </c>
      <c r="B1717" s="37" t="n">
        <v>829.719482421875</v>
      </c>
    </row>
    <row r="1718" customFormat="false" ht="15" hidden="false" customHeight="false" outlineLevel="0" collapsed="false">
      <c r="A1718" s="148" t="n">
        <v>41836</v>
      </c>
      <c r="B1718" s="37" t="n">
        <v>834.717834472656</v>
      </c>
    </row>
    <row r="1719" customFormat="false" ht="15" hidden="false" customHeight="false" outlineLevel="0" collapsed="false">
      <c r="A1719" s="148" t="n">
        <v>41837</v>
      </c>
      <c r="B1719" s="37" t="n">
        <v>824.723205566406</v>
      </c>
    </row>
    <row r="1720" customFormat="false" ht="15" hidden="false" customHeight="false" outlineLevel="0" collapsed="false">
      <c r="A1720" s="148" t="n">
        <v>41838</v>
      </c>
      <c r="B1720" s="37" t="n">
        <v>830.719177246094</v>
      </c>
    </row>
    <row r="1721" customFormat="false" ht="15" hidden="false" customHeight="false" outlineLevel="0" collapsed="false">
      <c r="A1721" s="148" t="n">
        <v>41841</v>
      </c>
      <c r="B1721" s="37" t="n">
        <v>816.768859863281</v>
      </c>
    </row>
    <row r="1722" customFormat="false" ht="15" hidden="false" customHeight="false" outlineLevel="0" collapsed="false">
      <c r="A1722" s="148" t="n">
        <v>41842</v>
      </c>
      <c r="B1722" s="37" t="n">
        <v>819.722900390625</v>
      </c>
    </row>
    <row r="1723" customFormat="false" ht="15" hidden="false" customHeight="false" outlineLevel="0" collapsed="false">
      <c r="A1723" s="148" t="n">
        <v>41843</v>
      </c>
      <c r="B1723" s="37" t="n">
        <v>819.722900390625</v>
      </c>
    </row>
    <row r="1724" customFormat="false" ht="15" hidden="false" customHeight="false" outlineLevel="0" collapsed="false">
      <c r="A1724" s="148" t="n">
        <v>41844</v>
      </c>
      <c r="B1724" s="37" t="n">
        <v>819.722900390625</v>
      </c>
    </row>
    <row r="1725" customFormat="false" ht="15" hidden="false" customHeight="false" outlineLevel="0" collapsed="false">
      <c r="A1725" s="148" t="n">
        <v>41845</v>
      </c>
      <c r="B1725" s="37" t="n">
        <v>804.727966308594</v>
      </c>
    </row>
    <row r="1726" customFormat="false" ht="15" hidden="false" customHeight="false" outlineLevel="0" collapsed="false">
      <c r="A1726" s="148" t="n">
        <v>41848</v>
      </c>
      <c r="B1726" s="37" t="n">
        <v>806.727294921875</v>
      </c>
    </row>
    <row r="1727" customFormat="false" ht="15" hidden="false" customHeight="false" outlineLevel="0" collapsed="false">
      <c r="A1727" s="148" t="n">
        <v>41849</v>
      </c>
      <c r="B1727" s="37" t="n">
        <v>799.729614257813</v>
      </c>
    </row>
    <row r="1728" customFormat="false" ht="15" hidden="false" customHeight="false" outlineLevel="0" collapsed="false">
      <c r="A1728" s="148" t="n">
        <v>41850</v>
      </c>
      <c r="B1728" s="37" t="n">
        <v>784.734741210938</v>
      </c>
    </row>
    <row r="1729" customFormat="false" ht="15" hidden="false" customHeight="false" outlineLevel="0" collapsed="false">
      <c r="A1729" s="148" t="n">
        <v>41851</v>
      </c>
      <c r="B1729" s="37" t="n">
        <v>798.72998046875</v>
      </c>
    </row>
    <row r="1730" customFormat="false" ht="15" hidden="false" customHeight="false" outlineLevel="0" collapsed="false">
      <c r="A1730" s="148" t="n">
        <v>41852</v>
      </c>
      <c r="B1730" s="37" t="n">
        <v>806.727294921875</v>
      </c>
    </row>
    <row r="1731" customFormat="false" ht="15" hidden="false" customHeight="false" outlineLevel="0" collapsed="false">
      <c r="A1731" s="148" t="n">
        <v>41855</v>
      </c>
      <c r="B1731" s="37" t="n">
        <v>799.729614257813</v>
      </c>
    </row>
    <row r="1732" customFormat="false" ht="15" hidden="false" customHeight="false" outlineLevel="0" collapsed="false">
      <c r="A1732" s="148" t="n">
        <v>41856</v>
      </c>
      <c r="B1732" s="37" t="n">
        <v>799.729614257813</v>
      </c>
    </row>
    <row r="1733" customFormat="false" ht="15" hidden="false" customHeight="false" outlineLevel="0" collapsed="false">
      <c r="A1733" s="148" t="n">
        <v>41857</v>
      </c>
      <c r="B1733" s="37" t="n">
        <v>799.729614257813</v>
      </c>
    </row>
    <row r="1734" customFormat="false" ht="15" hidden="false" customHeight="false" outlineLevel="0" collapsed="false">
      <c r="A1734" s="148" t="n">
        <v>41858</v>
      </c>
      <c r="B1734" s="37" t="n">
        <v>799.729614257813</v>
      </c>
    </row>
    <row r="1735" customFormat="false" ht="15" hidden="false" customHeight="false" outlineLevel="0" collapsed="false">
      <c r="A1735" s="148" t="n">
        <v>41859</v>
      </c>
      <c r="B1735" s="37" t="n">
        <v>799.729614257813</v>
      </c>
    </row>
    <row r="1736" customFormat="false" ht="15" hidden="false" customHeight="false" outlineLevel="0" collapsed="false">
      <c r="A1736" s="148" t="n">
        <v>41862</v>
      </c>
      <c r="B1736" s="37" t="n">
        <v>784.734741210938</v>
      </c>
    </row>
    <row r="1737" customFormat="false" ht="15" hidden="false" customHeight="false" outlineLevel="0" collapsed="false">
      <c r="A1737" s="148" t="n">
        <v>41863</v>
      </c>
      <c r="B1737" s="37" t="n">
        <v>799.729614257813</v>
      </c>
    </row>
    <row r="1738" customFormat="false" ht="15" hidden="false" customHeight="false" outlineLevel="0" collapsed="false">
      <c r="A1738" s="148" t="n">
        <v>41864</v>
      </c>
      <c r="B1738" s="37" t="n">
        <v>778.736755371094</v>
      </c>
    </row>
    <row r="1739" customFormat="false" ht="15" hidden="false" customHeight="false" outlineLevel="0" collapsed="false">
      <c r="A1739" s="148" t="n">
        <v>41865</v>
      </c>
      <c r="B1739" s="37" t="n">
        <v>739.749938964844</v>
      </c>
    </row>
    <row r="1740" customFormat="false" ht="15" hidden="false" customHeight="false" outlineLevel="0" collapsed="false">
      <c r="A1740" s="148" t="n">
        <v>41866</v>
      </c>
      <c r="B1740" s="37" t="n">
        <v>784.734741210938</v>
      </c>
    </row>
    <row r="1741" customFormat="false" ht="15" hidden="false" customHeight="false" outlineLevel="0" collapsed="false">
      <c r="A1741" s="148" t="n">
        <v>41869</v>
      </c>
      <c r="B1741" s="37" t="n">
        <v>788.7333984375</v>
      </c>
    </row>
    <row r="1742" customFormat="false" ht="15" hidden="false" customHeight="false" outlineLevel="0" collapsed="false">
      <c r="A1742" s="148" t="n">
        <v>41870</v>
      </c>
      <c r="B1742" s="37" t="n">
        <v>782.735412597656</v>
      </c>
    </row>
    <row r="1743" customFormat="false" ht="15" hidden="false" customHeight="false" outlineLevel="0" collapsed="false">
      <c r="A1743" s="148" t="n">
        <v>41871</v>
      </c>
      <c r="B1743" s="37" t="n">
        <v>776.737426757813</v>
      </c>
    </row>
    <row r="1744" customFormat="false" ht="15" hidden="false" customHeight="false" outlineLevel="0" collapsed="false">
      <c r="A1744" s="148" t="n">
        <v>41872</v>
      </c>
      <c r="B1744" s="37" t="n">
        <v>740.749572753906</v>
      </c>
    </row>
    <row r="1745" customFormat="false" ht="15" hidden="false" customHeight="false" outlineLevel="0" collapsed="false">
      <c r="A1745" s="148" t="n">
        <v>41873</v>
      </c>
      <c r="B1745" s="37" t="n">
        <v>740.749572753906</v>
      </c>
    </row>
    <row r="1746" customFormat="false" ht="15" hidden="false" customHeight="false" outlineLevel="0" collapsed="false">
      <c r="A1746" s="148" t="n">
        <v>41876</v>
      </c>
      <c r="B1746" s="37" t="n">
        <v>749.746520996094</v>
      </c>
    </row>
    <row r="1747" customFormat="false" ht="15" hidden="false" customHeight="false" outlineLevel="0" collapsed="false">
      <c r="A1747" s="148" t="n">
        <v>41877</v>
      </c>
      <c r="B1747" s="37" t="n">
        <v>784.734741210938</v>
      </c>
    </row>
    <row r="1748" customFormat="false" ht="15" hidden="false" customHeight="false" outlineLevel="0" collapsed="false">
      <c r="A1748" s="148" t="n">
        <v>41878</v>
      </c>
      <c r="B1748" s="37" t="n">
        <v>749.746520996094</v>
      </c>
    </row>
    <row r="1749" customFormat="false" ht="15" hidden="false" customHeight="false" outlineLevel="0" collapsed="false">
      <c r="A1749" s="148" t="n">
        <v>41879</v>
      </c>
      <c r="B1749" s="37" t="n">
        <v>749.746520996094</v>
      </c>
    </row>
    <row r="1750" customFormat="false" ht="15" hidden="false" customHeight="false" outlineLevel="0" collapsed="false">
      <c r="A1750" s="148" t="n">
        <v>41880</v>
      </c>
      <c r="B1750" s="37" t="n">
        <v>749.767517089844</v>
      </c>
    </row>
    <row r="1751" customFormat="false" ht="15" hidden="false" customHeight="false" outlineLevel="0" collapsed="false">
      <c r="A1751" s="148" t="n">
        <v>41883</v>
      </c>
      <c r="B1751" s="37" t="n">
        <v>779.736389160156</v>
      </c>
    </row>
    <row r="1752" customFormat="false" ht="15" hidden="false" customHeight="false" outlineLevel="0" collapsed="false">
      <c r="A1752" s="148" t="n">
        <v>41884</v>
      </c>
      <c r="B1752" s="37" t="n">
        <v>774.738098144531</v>
      </c>
    </row>
    <row r="1753" customFormat="false" ht="15" hidden="false" customHeight="false" outlineLevel="0" collapsed="false">
      <c r="A1753" s="148" t="n">
        <v>41885</v>
      </c>
      <c r="B1753" s="37" t="n">
        <v>779.736389160156</v>
      </c>
    </row>
    <row r="1754" customFormat="false" ht="15" hidden="false" customHeight="false" outlineLevel="0" collapsed="false">
      <c r="A1754" s="148" t="n">
        <v>41886</v>
      </c>
      <c r="B1754" s="37" t="n">
        <v>779.736389160156</v>
      </c>
    </row>
    <row r="1755" customFormat="false" ht="15" hidden="false" customHeight="false" outlineLevel="0" collapsed="false">
      <c r="A1755" s="148" t="n">
        <v>41887</v>
      </c>
      <c r="B1755" s="37" t="n">
        <v>778.736755371094</v>
      </c>
    </row>
    <row r="1756" customFormat="false" ht="15" hidden="false" customHeight="false" outlineLevel="0" collapsed="false">
      <c r="A1756" s="148" t="n">
        <v>41890</v>
      </c>
      <c r="B1756" s="37" t="n">
        <v>779.736389160156</v>
      </c>
    </row>
    <row r="1757" customFormat="false" ht="15" hidden="false" customHeight="false" outlineLevel="0" collapsed="false">
      <c r="A1757" s="148" t="n">
        <v>41891</v>
      </c>
      <c r="B1757" s="37" t="n">
        <v>759.7431640625</v>
      </c>
    </row>
    <row r="1758" customFormat="false" ht="15" hidden="false" customHeight="false" outlineLevel="0" collapsed="false">
      <c r="A1758" s="148" t="n">
        <v>41892</v>
      </c>
      <c r="B1758" s="37" t="n">
        <v>759.7431640625</v>
      </c>
    </row>
    <row r="1759" customFormat="false" ht="15" hidden="false" customHeight="false" outlineLevel="0" collapsed="false">
      <c r="A1759" s="148" t="n">
        <v>41893</v>
      </c>
      <c r="B1759" s="37" t="n">
        <v>779.736389160156</v>
      </c>
    </row>
    <row r="1760" customFormat="false" ht="15" hidden="false" customHeight="false" outlineLevel="0" collapsed="false">
      <c r="A1760" s="148" t="n">
        <v>41894</v>
      </c>
      <c r="B1760" s="37" t="n">
        <v>779.736389160156</v>
      </c>
    </row>
    <row r="1761" customFormat="false" ht="15" hidden="false" customHeight="false" outlineLevel="0" collapsed="false">
      <c r="A1761" s="148" t="n">
        <v>41897</v>
      </c>
      <c r="B1761" s="37" t="n">
        <v>764.741516113281</v>
      </c>
    </row>
    <row r="1762" customFormat="false" ht="15" hidden="false" customHeight="false" outlineLevel="0" collapsed="false">
      <c r="A1762" s="148" t="n">
        <v>41898</v>
      </c>
      <c r="B1762" s="37" t="n">
        <v>759.7431640625</v>
      </c>
    </row>
    <row r="1763" customFormat="false" ht="15" hidden="false" customHeight="false" outlineLevel="0" collapsed="false">
      <c r="A1763" s="148" t="n">
        <v>41899</v>
      </c>
      <c r="B1763" s="37" t="n">
        <v>749.746520996094</v>
      </c>
    </row>
    <row r="1764" customFormat="false" ht="15" hidden="false" customHeight="false" outlineLevel="0" collapsed="false">
      <c r="A1764" s="148" t="n">
        <v>41900</v>
      </c>
      <c r="B1764" s="37" t="n">
        <v>759.910095214844</v>
      </c>
    </row>
    <row r="1765" customFormat="false" ht="15" hidden="false" customHeight="false" outlineLevel="0" collapsed="false">
      <c r="A1765" s="148" t="n">
        <v>41901</v>
      </c>
      <c r="B1765" s="37" t="n">
        <v>749.746520996094</v>
      </c>
    </row>
    <row r="1766" customFormat="false" ht="15" hidden="false" customHeight="false" outlineLevel="0" collapsed="false">
      <c r="A1766" s="148" t="n">
        <v>41904</v>
      </c>
      <c r="B1766" s="37" t="n">
        <v>749.746520996094</v>
      </c>
    </row>
    <row r="1767" customFormat="false" ht="15" hidden="false" customHeight="false" outlineLevel="0" collapsed="false">
      <c r="A1767" s="148" t="n">
        <v>41905</v>
      </c>
      <c r="B1767" s="37" t="n">
        <v>750.746215820313</v>
      </c>
    </row>
    <row r="1768" customFormat="false" ht="15" hidden="false" customHeight="false" outlineLevel="0" collapsed="false">
      <c r="A1768" s="148" t="n">
        <v>41906</v>
      </c>
      <c r="B1768" s="37" t="n">
        <v>750.746215820313</v>
      </c>
    </row>
    <row r="1769" customFormat="false" ht="15" hidden="false" customHeight="false" outlineLevel="0" collapsed="false">
      <c r="A1769" s="148" t="n">
        <v>41907</v>
      </c>
      <c r="B1769" s="37" t="n">
        <v>779.736389160156</v>
      </c>
    </row>
    <row r="1770" customFormat="false" ht="15" hidden="false" customHeight="false" outlineLevel="0" collapsed="false">
      <c r="A1770" s="148" t="n">
        <v>41908</v>
      </c>
      <c r="B1770" s="37" t="n">
        <v>859.709350585938</v>
      </c>
    </row>
    <row r="1771" customFormat="false" ht="15" hidden="false" customHeight="false" outlineLevel="0" collapsed="false">
      <c r="A1771" s="148" t="n">
        <v>41911</v>
      </c>
      <c r="B1771" s="37" t="n">
        <v>878.702941894531</v>
      </c>
    </row>
    <row r="1772" customFormat="false" ht="15" hidden="false" customHeight="false" outlineLevel="0" collapsed="false">
      <c r="A1772" s="148" t="n">
        <v>41912</v>
      </c>
      <c r="B1772" s="37" t="n">
        <v>859.709350585938</v>
      </c>
    </row>
    <row r="1773" customFormat="false" ht="15" hidden="false" customHeight="false" outlineLevel="0" collapsed="false">
      <c r="A1773" s="148" t="n">
        <v>41913</v>
      </c>
      <c r="B1773" s="37" t="n">
        <v>849.712768554688</v>
      </c>
    </row>
    <row r="1774" customFormat="false" ht="15" hidden="false" customHeight="false" outlineLevel="0" collapsed="false">
      <c r="A1774" s="148" t="n">
        <v>41914</v>
      </c>
      <c r="B1774" s="37" t="n">
        <v>854.711059570313</v>
      </c>
    </row>
    <row r="1775" customFormat="false" ht="15" hidden="false" customHeight="false" outlineLevel="0" collapsed="false">
      <c r="A1775" s="148" t="n">
        <v>41915</v>
      </c>
      <c r="B1775" s="37" t="n">
        <v>849.712768554688</v>
      </c>
    </row>
    <row r="1776" customFormat="false" ht="15" hidden="false" customHeight="false" outlineLevel="0" collapsed="false">
      <c r="A1776" s="148" t="n">
        <v>41918</v>
      </c>
      <c r="B1776" s="37" t="n">
        <v>849.712768554688</v>
      </c>
    </row>
    <row r="1777" customFormat="false" ht="15" hidden="false" customHeight="false" outlineLevel="0" collapsed="false">
      <c r="A1777" s="148" t="n">
        <v>41919</v>
      </c>
      <c r="B1777" s="37" t="n">
        <v>849.712768554688</v>
      </c>
    </row>
    <row r="1778" customFormat="false" ht="15" hidden="false" customHeight="false" outlineLevel="0" collapsed="false">
      <c r="A1778" s="148" t="n">
        <v>41920</v>
      </c>
      <c r="B1778" s="37" t="n">
        <v>849.712768554688</v>
      </c>
    </row>
    <row r="1779" customFormat="false" ht="15" hidden="false" customHeight="false" outlineLevel="0" collapsed="false">
      <c r="A1779" s="148" t="n">
        <v>41921</v>
      </c>
      <c r="B1779" s="37" t="n">
        <v>854.711059570313</v>
      </c>
    </row>
    <row r="1780" customFormat="false" ht="15" hidden="false" customHeight="false" outlineLevel="0" collapsed="false">
      <c r="A1780" s="148" t="n">
        <v>41922</v>
      </c>
      <c r="B1780" s="37" t="n">
        <v>854.711059570313</v>
      </c>
    </row>
    <row r="1781" customFormat="false" ht="15" hidden="false" customHeight="false" outlineLevel="0" collapsed="false">
      <c r="A1781" s="148" t="n">
        <v>41925</v>
      </c>
      <c r="B1781" s="37" t="n">
        <v>839.716125488281</v>
      </c>
    </row>
    <row r="1782" customFormat="false" ht="15" hidden="false" customHeight="false" outlineLevel="0" collapsed="false">
      <c r="A1782" s="148" t="n">
        <v>41926</v>
      </c>
      <c r="B1782" s="37" t="n">
        <v>834.717834472656</v>
      </c>
    </row>
    <row r="1783" customFormat="false" ht="15" hidden="false" customHeight="false" outlineLevel="0" collapsed="false">
      <c r="A1783" s="148" t="n">
        <v>41927</v>
      </c>
      <c r="B1783" s="37" t="n">
        <v>829.719482421875</v>
      </c>
    </row>
    <row r="1784" customFormat="false" ht="15" hidden="false" customHeight="false" outlineLevel="0" collapsed="false">
      <c r="A1784" s="148" t="n">
        <v>41928</v>
      </c>
      <c r="B1784" s="37" t="n">
        <v>829.719482421875</v>
      </c>
    </row>
    <row r="1785" customFormat="false" ht="15" hidden="false" customHeight="false" outlineLevel="0" collapsed="false">
      <c r="A1785" s="148" t="n">
        <v>41929</v>
      </c>
      <c r="B1785" s="37" t="n">
        <v>829.719482421875</v>
      </c>
    </row>
    <row r="1786" customFormat="false" ht="15" hidden="false" customHeight="false" outlineLevel="0" collapsed="false">
      <c r="A1786" s="148" t="n">
        <v>41932</v>
      </c>
      <c r="B1786" s="37" t="n">
        <v>829.719482421875</v>
      </c>
    </row>
    <row r="1787" customFormat="false" ht="15" hidden="false" customHeight="false" outlineLevel="0" collapsed="false">
      <c r="A1787" s="148" t="n">
        <v>41933</v>
      </c>
      <c r="B1787" s="37" t="n">
        <v>847.713439941406</v>
      </c>
    </row>
    <row r="1788" customFormat="false" ht="15" hidden="false" customHeight="false" outlineLevel="0" collapsed="false">
      <c r="A1788" s="148" t="n">
        <v>41934</v>
      </c>
      <c r="B1788" s="37" t="n">
        <v>830.719177246094</v>
      </c>
    </row>
    <row r="1789" customFormat="false" ht="15" hidden="false" customHeight="false" outlineLevel="0" collapsed="false">
      <c r="A1789" s="148" t="n">
        <v>41935</v>
      </c>
      <c r="B1789" s="37" t="n">
        <v>848.713134765625</v>
      </c>
    </row>
    <row r="1790" customFormat="false" ht="15" hidden="false" customHeight="false" outlineLevel="0" collapsed="false">
      <c r="A1790" s="148" t="n">
        <v>41936</v>
      </c>
      <c r="B1790" s="37" t="n">
        <v>830.719177246094</v>
      </c>
    </row>
    <row r="1791" customFormat="false" ht="15" hidden="false" customHeight="false" outlineLevel="0" collapsed="false">
      <c r="A1791" s="148" t="n">
        <v>41939</v>
      </c>
      <c r="B1791" s="37" t="n">
        <v>849.712768554688</v>
      </c>
    </row>
    <row r="1792" customFormat="false" ht="15" hidden="false" customHeight="false" outlineLevel="0" collapsed="false">
      <c r="A1792" s="148" t="n">
        <v>41940</v>
      </c>
      <c r="B1792" s="37" t="n">
        <v>858.709716796875</v>
      </c>
    </row>
    <row r="1793" customFormat="false" ht="15" hidden="false" customHeight="false" outlineLevel="0" collapsed="false">
      <c r="A1793" s="148" t="n">
        <v>41941</v>
      </c>
      <c r="B1793" s="37" t="n">
        <v>869.705993652344</v>
      </c>
    </row>
    <row r="1794" customFormat="false" ht="15" hidden="false" customHeight="false" outlineLevel="0" collapsed="false">
      <c r="A1794" s="148" t="n">
        <v>41942</v>
      </c>
      <c r="B1794" s="37" t="n">
        <v>874.704284667969</v>
      </c>
    </row>
    <row r="1795" customFormat="false" ht="15" hidden="false" customHeight="false" outlineLevel="0" collapsed="false">
      <c r="A1795" s="148" t="n">
        <v>41943</v>
      </c>
      <c r="B1795" s="37" t="n">
        <v>884.700927734375</v>
      </c>
    </row>
    <row r="1796" customFormat="false" ht="15" hidden="false" customHeight="false" outlineLevel="0" collapsed="false">
      <c r="A1796" s="148" t="n">
        <v>41946</v>
      </c>
      <c r="B1796" s="37" t="n">
        <v>899.695861816406</v>
      </c>
    </row>
    <row r="1797" customFormat="false" ht="15" hidden="false" customHeight="false" outlineLevel="0" collapsed="false">
      <c r="A1797" s="148" t="n">
        <v>41947</v>
      </c>
      <c r="B1797" s="37" t="n">
        <v>929.685729980469</v>
      </c>
    </row>
    <row r="1798" customFormat="false" ht="15" hidden="false" customHeight="false" outlineLevel="0" collapsed="false">
      <c r="A1798" s="148" t="n">
        <v>41948</v>
      </c>
      <c r="B1798" s="37" t="n">
        <v>939.682373046875</v>
      </c>
    </row>
    <row r="1799" customFormat="false" ht="15" hidden="false" customHeight="false" outlineLevel="0" collapsed="false">
      <c r="A1799" s="148" t="n">
        <v>41949</v>
      </c>
      <c r="B1799" s="37" t="n">
        <v>949.678955078125</v>
      </c>
    </row>
    <row r="1800" customFormat="false" ht="15" hidden="false" customHeight="false" outlineLevel="0" collapsed="false">
      <c r="A1800" s="148" t="n">
        <v>41950</v>
      </c>
      <c r="B1800" s="37" t="n">
        <v>949.678955078125</v>
      </c>
    </row>
    <row r="1801" customFormat="false" ht="15" hidden="false" customHeight="false" outlineLevel="0" collapsed="false">
      <c r="A1801" s="148" t="n">
        <v>41953</v>
      </c>
      <c r="B1801" s="37" t="n">
        <v>929.685729980469</v>
      </c>
    </row>
    <row r="1802" customFormat="false" ht="15" hidden="false" customHeight="false" outlineLevel="0" collapsed="false">
      <c r="A1802" s="148" t="n">
        <v>41954</v>
      </c>
      <c r="B1802" s="37" t="n">
        <v>939.682373046875</v>
      </c>
    </row>
    <row r="1803" customFormat="false" ht="15" hidden="false" customHeight="false" outlineLevel="0" collapsed="false">
      <c r="A1803" s="148" t="n">
        <v>41955</v>
      </c>
      <c r="B1803" s="37" t="n">
        <v>939.682373046875</v>
      </c>
    </row>
    <row r="1804" customFormat="false" ht="15" hidden="false" customHeight="false" outlineLevel="0" collapsed="false">
      <c r="A1804" s="148" t="n">
        <v>41956</v>
      </c>
      <c r="B1804" s="37" t="n">
        <v>929.685729980469</v>
      </c>
    </row>
    <row r="1805" customFormat="false" ht="15" hidden="false" customHeight="false" outlineLevel="0" collapsed="false">
      <c r="A1805" s="148" t="n">
        <v>41957</v>
      </c>
      <c r="B1805" s="37" t="n">
        <v>929.685729980469</v>
      </c>
    </row>
    <row r="1806" customFormat="false" ht="15" hidden="false" customHeight="false" outlineLevel="0" collapsed="false">
      <c r="A1806" s="148" t="n">
        <v>41960</v>
      </c>
      <c r="B1806" s="37" t="n">
        <v>929.685729980469</v>
      </c>
    </row>
    <row r="1807" customFormat="false" ht="15" hidden="false" customHeight="false" outlineLevel="0" collapsed="false">
      <c r="A1807" s="148" t="n">
        <v>41961</v>
      </c>
      <c r="B1807" s="37" t="n">
        <v>919.689147949219</v>
      </c>
    </row>
    <row r="1808" customFormat="false" ht="15" hidden="false" customHeight="false" outlineLevel="0" collapsed="false">
      <c r="A1808" s="148" t="n">
        <v>41962</v>
      </c>
      <c r="B1808" s="37" t="n">
        <v>914.690795898438</v>
      </c>
    </row>
    <row r="1809" customFormat="false" ht="15" hidden="false" customHeight="false" outlineLevel="0" collapsed="false">
      <c r="A1809" s="148" t="n">
        <v>41963</v>
      </c>
      <c r="B1809" s="37" t="n">
        <v>914.690795898438</v>
      </c>
    </row>
    <row r="1810" customFormat="false" ht="15" hidden="false" customHeight="false" outlineLevel="0" collapsed="false">
      <c r="A1810" s="148" t="n">
        <v>41964</v>
      </c>
      <c r="B1810" s="37" t="n">
        <v>914.690795898438</v>
      </c>
    </row>
    <row r="1811" customFormat="false" ht="15" hidden="false" customHeight="false" outlineLevel="0" collapsed="false">
      <c r="A1811" s="148" t="n">
        <v>41967</v>
      </c>
      <c r="B1811" s="37" t="n">
        <v>949.678955078125</v>
      </c>
    </row>
    <row r="1812" customFormat="false" ht="15" hidden="false" customHeight="false" outlineLevel="0" collapsed="false">
      <c r="A1812" s="148" t="n">
        <v>41968</v>
      </c>
      <c r="B1812" s="37" t="n">
        <v>949.678955078125</v>
      </c>
    </row>
    <row r="1813" customFormat="false" ht="15" hidden="false" customHeight="false" outlineLevel="0" collapsed="false">
      <c r="A1813" s="148" t="n">
        <v>41969</v>
      </c>
      <c r="B1813" s="37" t="n">
        <v>949.678955078125</v>
      </c>
    </row>
    <row r="1814" customFormat="false" ht="15" hidden="false" customHeight="false" outlineLevel="0" collapsed="false">
      <c r="A1814" s="148" t="n">
        <v>41970</v>
      </c>
      <c r="B1814" s="37" t="n">
        <v>951.678283691406</v>
      </c>
    </row>
    <row r="1815" customFormat="false" ht="15" hidden="false" customHeight="false" outlineLevel="0" collapsed="false">
      <c r="A1815" s="148" t="n">
        <v>41971</v>
      </c>
      <c r="B1815" s="37" t="n">
        <v>979.668823242188</v>
      </c>
    </row>
    <row r="1816" customFormat="false" ht="15" hidden="false" customHeight="false" outlineLevel="0" collapsed="false">
      <c r="A1816" s="148" t="n">
        <v>41974</v>
      </c>
      <c r="B1816" s="37" t="n">
        <v>979.668823242188</v>
      </c>
    </row>
    <row r="1817" customFormat="false" ht="15" hidden="false" customHeight="false" outlineLevel="0" collapsed="false">
      <c r="A1817" s="148" t="n">
        <v>41975</v>
      </c>
      <c r="B1817" s="37" t="n">
        <v>960.675231933594</v>
      </c>
    </row>
    <row r="1818" customFormat="false" ht="15" hidden="false" customHeight="false" outlineLevel="0" collapsed="false">
      <c r="A1818" s="148" t="n">
        <v>41976</v>
      </c>
      <c r="B1818" s="37" t="n">
        <v>979.668823242188</v>
      </c>
    </row>
    <row r="1819" customFormat="false" ht="15" hidden="false" customHeight="false" outlineLevel="0" collapsed="false">
      <c r="A1819" s="148" t="n">
        <v>41977</v>
      </c>
      <c r="B1819" s="37" t="n">
        <v>959.675598144531</v>
      </c>
    </row>
    <row r="1820" customFormat="false" ht="15" hidden="false" customHeight="false" outlineLevel="0" collapsed="false">
      <c r="A1820" s="148" t="n">
        <v>41978</v>
      </c>
      <c r="B1820" s="37" t="n">
        <v>989.665405273438</v>
      </c>
    </row>
    <row r="1821" customFormat="false" ht="15" hidden="false" customHeight="false" outlineLevel="0" collapsed="false">
      <c r="A1821" s="148" t="n">
        <v>41981</v>
      </c>
      <c r="B1821" s="37" t="n">
        <v>1023.65393066406</v>
      </c>
    </row>
    <row r="1822" customFormat="false" ht="15" hidden="false" customHeight="false" outlineLevel="0" collapsed="false">
      <c r="A1822" s="148" t="n">
        <v>41982</v>
      </c>
      <c r="B1822" s="37" t="n">
        <v>1049.64514160156</v>
      </c>
    </row>
    <row r="1823" customFormat="false" ht="15" hidden="false" customHeight="false" outlineLevel="0" collapsed="false">
      <c r="A1823" s="148" t="n">
        <v>41983</v>
      </c>
      <c r="B1823" s="37" t="n">
        <v>1089.63171386719</v>
      </c>
    </row>
    <row r="1824" customFormat="false" ht="15" hidden="false" customHeight="false" outlineLevel="0" collapsed="false">
      <c r="A1824" s="148" t="n">
        <v>41984</v>
      </c>
      <c r="B1824" s="37" t="n">
        <v>1089.63171386719</v>
      </c>
    </row>
    <row r="1825" customFormat="false" ht="15" hidden="false" customHeight="false" outlineLevel="0" collapsed="false">
      <c r="A1825" s="148" t="n">
        <v>41985</v>
      </c>
      <c r="B1825" s="37" t="n">
        <v>1124.61975097656</v>
      </c>
    </row>
    <row r="1826" customFormat="false" ht="15" hidden="false" customHeight="false" outlineLevel="0" collapsed="false">
      <c r="A1826" s="148" t="n">
        <v>41988</v>
      </c>
      <c r="B1826" s="37" t="n">
        <v>1149.61145019531</v>
      </c>
    </row>
    <row r="1827" customFormat="false" ht="15" hidden="false" customHeight="false" outlineLevel="0" collapsed="false">
      <c r="A1827" s="148" t="n">
        <v>41989</v>
      </c>
      <c r="B1827" s="37" t="n">
        <v>1149.61145019531</v>
      </c>
    </row>
    <row r="1828" customFormat="false" ht="15" hidden="false" customHeight="false" outlineLevel="0" collapsed="false">
      <c r="A1828" s="148" t="n">
        <v>41990</v>
      </c>
      <c r="B1828" s="37" t="n">
        <v>1129.61804199219</v>
      </c>
    </row>
    <row r="1829" customFormat="false" ht="15" hidden="false" customHeight="false" outlineLevel="0" collapsed="false">
      <c r="A1829" s="148" t="n">
        <v>41991</v>
      </c>
      <c r="B1829" s="37" t="n">
        <v>1174.60290527344</v>
      </c>
    </row>
    <row r="1830" customFormat="false" ht="15" hidden="false" customHeight="false" outlineLevel="0" collapsed="false">
      <c r="A1830" s="148" t="n">
        <v>41992</v>
      </c>
      <c r="B1830" s="37" t="n">
        <v>1188.59826660156</v>
      </c>
    </row>
    <row r="1831" customFormat="false" ht="15" hidden="false" customHeight="false" outlineLevel="0" collapsed="false">
      <c r="A1831" s="148" t="n">
        <v>41995</v>
      </c>
      <c r="B1831" s="37" t="n">
        <v>1239.58093261719</v>
      </c>
    </row>
    <row r="1832" customFormat="false" ht="15" hidden="false" customHeight="false" outlineLevel="0" collapsed="false">
      <c r="A1832" s="148" t="n">
        <v>41996</v>
      </c>
      <c r="B1832" s="37" t="n">
        <v>1298.56103515625</v>
      </c>
    </row>
    <row r="1833" customFormat="false" ht="15" hidden="false" customHeight="false" outlineLevel="0" collapsed="false">
      <c r="A1833" s="148" t="n">
        <v>41997</v>
      </c>
      <c r="B1833" s="37" t="n">
        <v>1274.56909179688</v>
      </c>
    </row>
    <row r="1834" customFormat="false" ht="15" hidden="false" customHeight="false" outlineLevel="0" collapsed="false">
      <c r="A1834" s="148" t="n">
        <v>41998</v>
      </c>
      <c r="B1834" s="37" t="n">
        <v>1274.56909179688</v>
      </c>
    </row>
    <row r="1835" customFormat="false" ht="15" hidden="false" customHeight="false" outlineLevel="0" collapsed="false">
      <c r="A1835" s="148" t="n">
        <v>41999</v>
      </c>
      <c r="B1835" s="37" t="n">
        <v>1274.56909179688</v>
      </c>
    </row>
    <row r="1836" customFormat="false" ht="15" hidden="false" customHeight="false" outlineLevel="0" collapsed="false">
      <c r="A1836" s="148" t="n">
        <v>42002</v>
      </c>
      <c r="B1836" s="37" t="n">
        <v>1334.548828125</v>
      </c>
    </row>
    <row r="1837" customFormat="false" ht="15" hidden="false" customHeight="false" outlineLevel="0" collapsed="false">
      <c r="A1837" s="148" t="n">
        <v>42003</v>
      </c>
      <c r="B1837" s="37" t="n">
        <v>1409.52355957031</v>
      </c>
    </row>
    <row r="1838" customFormat="false" ht="15" hidden="false" customHeight="false" outlineLevel="0" collapsed="false">
      <c r="A1838" s="148" t="n">
        <v>42004</v>
      </c>
      <c r="B1838" s="37" t="n">
        <v>1424.51843261719</v>
      </c>
    </row>
    <row r="1839" customFormat="false" ht="15" hidden="false" customHeight="false" outlineLevel="0" collapsed="false">
      <c r="A1839" s="148" t="n">
        <v>42005</v>
      </c>
      <c r="B1839" s="37" t="n">
        <v>1424.51843261719</v>
      </c>
    </row>
    <row r="1840" customFormat="false" ht="15" hidden="false" customHeight="false" outlineLevel="0" collapsed="false">
      <c r="A1840" s="148" t="n">
        <v>42006</v>
      </c>
      <c r="B1840" s="37" t="n">
        <v>1499.49304199219</v>
      </c>
    </row>
    <row r="1841" customFormat="false" ht="15" hidden="false" customHeight="false" outlineLevel="0" collapsed="false">
      <c r="A1841" s="148" t="n">
        <v>42009</v>
      </c>
      <c r="B1841" s="37" t="n">
        <v>1494.49475097656</v>
      </c>
    </row>
    <row r="1842" customFormat="false" ht="15" hidden="false" customHeight="false" outlineLevel="0" collapsed="false">
      <c r="A1842" s="148" t="n">
        <v>42010</v>
      </c>
      <c r="B1842" s="37" t="n">
        <v>1489.49645996094</v>
      </c>
    </row>
    <row r="1843" customFormat="false" ht="15" hidden="false" customHeight="false" outlineLevel="0" collapsed="false">
      <c r="A1843" s="148" t="n">
        <v>42011</v>
      </c>
      <c r="B1843" s="37" t="n">
        <v>1419.52014160156</v>
      </c>
    </row>
    <row r="1844" customFormat="false" ht="15" hidden="false" customHeight="false" outlineLevel="0" collapsed="false">
      <c r="A1844" s="148" t="n">
        <v>42012</v>
      </c>
      <c r="B1844" s="37" t="n">
        <v>1359.54040527344</v>
      </c>
    </row>
    <row r="1845" customFormat="false" ht="15" hidden="false" customHeight="false" outlineLevel="0" collapsed="false">
      <c r="A1845" s="148" t="n">
        <v>42013</v>
      </c>
      <c r="B1845" s="37" t="n">
        <v>1349.54370117188</v>
      </c>
    </row>
    <row r="1846" customFormat="false" ht="15" hidden="false" customHeight="false" outlineLevel="0" collapsed="false">
      <c r="A1846" s="148" t="n">
        <v>42016</v>
      </c>
      <c r="B1846" s="37" t="n">
        <v>1349.54370117188</v>
      </c>
    </row>
    <row r="1847" customFormat="false" ht="15" hidden="false" customHeight="false" outlineLevel="0" collapsed="false">
      <c r="A1847" s="148" t="n">
        <v>42017</v>
      </c>
      <c r="B1847" s="37" t="n">
        <v>1349.54370117188</v>
      </c>
    </row>
    <row r="1848" customFormat="false" ht="15" hidden="false" customHeight="false" outlineLevel="0" collapsed="false">
      <c r="A1848" s="148" t="n">
        <v>42018</v>
      </c>
      <c r="B1848" s="37" t="n">
        <v>1347.54443359375</v>
      </c>
    </row>
    <row r="1849" customFormat="false" ht="15" hidden="false" customHeight="false" outlineLevel="0" collapsed="false">
      <c r="A1849" s="148" t="n">
        <v>42019</v>
      </c>
      <c r="B1849" s="37" t="n">
        <v>1349.54370117188</v>
      </c>
    </row>
    <row r="1850" customFormat="false" ht="15" hidden="false" customHeight="false" outlineLevel="0" collapsed="false">
      <c r="A1850" s="148" t="n">
        <v>42020</v>
      </c>
      <c r="B1850" s="37" t="n">
        <v>1339.54711914063</v>
      </c>
    </row>
    <row r="1851" customFormat="false" ht="15" hidden="false" customHeight="false" outlineLevel="0" collapsed="false">
      <c r="A1851" s="148" t="n">
        <v>42023</v>
      </c>
      <c r="B1851" s="37" t="n">
        <v>1336.54809570313</v>
      </c>
    </row>
    <row r="1852" customFormat="false" ht="15" hidden="false" customHeight="false" outlineLevel="0" collapsed="false">
      <c r="A1852" s="148" t="n">
        <v>42024</v>
      </c>
      <c r="B1852" s="37" t="n">
        <v>1345.54516601563</v>
      </c>
    </row>
    <row r="1853" customFormat="false" ht="15" hidden="false" customHeight="false" outlineLevel="0" collapsed="false">
      <c r="A1853" s="148" t="n">
        <v>42025</v>
      </c>
      <c r="B1853" s="37" t="n">
        <v>1348.54418945313</v>
      </c>
    </row>
    <row r="1854" customFormat="false" ht="15" hidden="false" customHeight="false" outlineLevel="0" collapsed="false">
      <c r="A1854" s="148" t="n">
        <v>42026</v>
      </c>
      <c r="B1854" s="37" t="n">
        <v>1359.54040527344</v>
      </c>
    </row>
    <row r="1855" customFormat="false" ht="15" hidden="false" customHeight="false" outlineLevel="0" collapsed="false">
      <c r="A1855" s="148" t="n">
        <v>42027</v>
      </c>
      <c r="B1855" s="37" t="n">
        <v>1373.53564453125</v>
      </c>
    </row>
    <row r="1856" customFormat="false" ht="15" hidden="false" customHeight="false" outlineLevel="0" collapsed="false">
      <c r="A1856" s="148" t="n">
        <v>42030</v>
      </c>
      <c r="B1856" s="37" t="n">
        <v>1379.53369140625</v>
      </c>
    </row>
    <row r="1857" customFormat="false" ht="15" hidden="false" customHeight="false" outlineLevel="0" collapsed="false">
      <c r="A1857" s="148" t="n">
        <v>42031</v>
      </c>
      <c r="B1857" s="37" t="n">
        <v>1354.54211425781</v>
      </c>
    </row>
    <row r="1858" customFormat="false" ht="15" hidden="false" customHeight="false" outlineLevel="0" collapsed="false">
      <c r="A1858" s="148" t="n">
        <v>42032</v>
      </c>
      <c r="B1858" s="37" t="n">
        <v>1363.5390625</v>
      </c>
    </row>
    <row r="1859" customFormat="false" ht="15" hidden="false" customHeight="false" outlineLevel="0" collapsed="false">
      <c r="A1859" s="148" t="n">
        <v>42033</v>
      </c>
      <c r="B1859" s="37" t="n">
        <v>1469.50329589844</v>
      </c>
    </row>
    <row r="1860" customFormat="false" ht="15" hidden="false" customHeight="false" outlineLevel="0" collapsed="false">
      <c r="A1860" s="148" t="n">
        <v>42034</v>
      </c>
      <c r="B1860" s="37" t="n">
        <v>1469.50329589844</v>
      </c>
    </row>
    <row r="1861" customFormat="false" ht="15" hidden="false" customHeight="false" outlineLevel="0" collapsed="false">
      <c r="A1861" s="148" t="n">
        <v>42037</v>
      </c>
      <c r="B1861" s="37" t="n">
        <v>1498.49353027344</v>
      </c>
    </row>
    <row r="1862" customFormat="false" ht="15" hidden="false" customHeight="false" outlineLevel="0" collapsed="false">
      <c r="A1862" s="148" t="n">
        <v>42038</v>
      </c>
      <c r="B1862" s="37" t="n">
        <v>1494.49475097656</v>
      </c>
    </row>
    <row r="1863" customFormat="false" ht="15" hidden="false" customHeight="false" outlineLevel="0" collapsed="false">
      <c r="A1863" s="148" t="n">
        <v>42039</v>
      </c>
      <c r="B1863" s="37" t="n">
        <v>1489.49645996094</v>
      </c>
    </row>
    <row r="1864" customFormat="false" ht="15" hidden="false" customHeight="false" outlineLevel="0" collapsed="false">
      <c r="A1864" s="148" t="n">
        <v>42040</v>
      </c>
      <c r="B1864" s="37" t="n">
        <v>1424.51843261719</v>
      </c>
    </row>
    <row r="1865" customFormat="false" ht="15" hidden="false" customHeight="false" outlineLevel="0" collapsed="false">
      <c r="A1865" s="148" t="n">
        <v>42041</v>
      </c>
      <c r="B1865" s="37" t="n">
        <v>1424.51843261719</v>
      </c>
    </row>
    <row r="1866" customFormat="false" ht="15" hidden="false" customHeight="false" outlineLevel="0" collapsed="false">
      <c r="A1866" s="148" t="n">
        <v>42044</v>
      </c>
      <c r="B1866" s="37" t="n">
        <v>1409.52355957031</v>
      </c>
    </row>
    <row r="1867" customFormat="false" ht="15" hidden="false" customHeight="false" outlineLevel="0" collapsed="false">
      <c r="A1867" s="148" t="n">
        <v>42045</v>
      </c>
      <c r="B1867" s="37" t="n">
        <v>1399.52685546875</v>
      </c>
    </row>
    <row r="1868" customFormat="false" ht="15" hidden="false" customHeight="false" outlineLevel="0" collapsed="false">
      <c r="A1868" s="148" t="n">
        <v>42046</v>
      </c>
      <c r="B1868" s="37" t="n">
        <v>1398.52722167969</v>
      </c>
    </row>
    <row r="1869" customFormat="false" ht="15" hidden="false" customHeight="false" outlineLevel="0" collapsed="false">
      <c r="A1869" s="148" t="n">
        <v>42047</v>
      </c>
      <c r="B1869" s="37" t="n">
        <v>1388.53063964844</v>
      </c>
    </row>
    <row r="1870" customFormat="false" ht="15" hidden="false" customHeight="false" outlineLevel="0" collapsed="false">
      <c r="A1870" s="148" t="n">
        <v>42048</v>
      </c>
      <c r="B1870" s="37" t="n">
        <v>1398.52722167969</v>
      </c>
    </row>
    <row r="1871" customFormat="false" ht="15" hidden="false" customHeight="false" outlineLevel="0" collapsed="false">
      <c r="A1871" s="148" t="n">
        <v>42051</v>
      </c>
      <c r="B1871" s="37" t="n">
        <v>1399.52685546875</v>
      </c>
    </row>
    <row r="1872" customFormat="false" ht="15" hidden="false" customHeight="false" outlineLevel="0" collapsed="false">
      <c r="A1872" s="148" t="n">
        <v>42052</v>
      </c>
      <c r="B1872" s="37" t="n">
        <v>1399.52685546875</v>
      </c>
    </row>
    <row r="1873" customFormat="false" ht="15" hidden="false" customHeight="false" outlineLevel="0" collapsed="false">
      <c r="A1873" s="148" t="n">
        <v>42053</v>
      </c>
      <c r="B1873" s="37" t="n">
        <v>1349.54370117188</v>
      </c>
    </row>
    <row r="1874" customFormat="false" ht="15" hidden="false" customHeight="false" outlineLevel="0" collapsed="false">
      <c r="A1874" s="148" t="n">
        <v>42054</v>
      </c>
      <c r="B1874" s="37" t="n">
        <v>1319.55395507813</v>
      </c>
    </row>
    <row r="1875" customFormat="false" ht="15" hidden="false" customHeight="false" outlineLevel="0" collapsed="false">
      <c r="A1875" s="148" t="n">
        <v>42055</v>
      </c>
      <c r="B1875" s="37" t="n">
        <v>1327.55126953125</v>
      </c>
    </row>
    <row r="1876" customFormat="false" ht="15" hidden="false" customHeight="false" outlineLevel="0" collapsed="false">
      <c r="A1876" s="148" t="n">
        <v>42058</v>
      </c>
      <c r="B1876" s="37" t="n">
        <v>1279.5673828125</v>
      </c>
    </row>
    <row r="1877" customFormat="false" ht="15" hidden="false" customHeight="false" outlineLevel="0" collapsed="false">
      <c r="A1877" s="148" t="n">
        <v>42059</v>
      </c>
      <c r="B1877" s="37" t="n">
        <v>1217.58837890625</v>
      </c>
    </row>
    <row r="1878" customFormat="false" ht="15" hidden="false" customHeight="false" outlineLevel="0" collapsed="false">
      <c r="A1878" s="148" t="n">
        <v>42060</v>
      </c>
      <c r="B1878" s="37" t="n">
        <v>1283.56616210938</v>
      </c>
    </row>
    <row r="1879" customFormat="false" ht="15" hidden="false" customHeight="false" outlineLevel="0" collapsed="false">
      <c r="A1879" s="148" t="n">
        <v>42061</v>
      </c>
      <c r="B1879" s="37" t="n">
        <v>1309.55737304688</v>
      </c>
    </row>
    <row r="1880" customFormat="false" ht="15" hidden="false" customHeight="false" outlineLevel="0" collapsed="false">
      <c r="A1880" s="148" t="n">
        <v>42062</v>
      </c>
      <c r="B1880" s="37" t="n">
        <v>1328.55078125</v>
      </c>
    </row>
    <row r="1881" customFormat="false" ht="15" hidden="false" customHeight="false" outlineLevel="0" collapsed="false">
      <c r="A1881" s="148" t="n">
        <v>42065</v>
      </c>
      <c r="B1881" s="37" t="n">
        <v>1424.51843261719</v>
      </c>
    </row>
    <row r="1882" customFormat="false" ht="15" hidden="false" customHeight="false" outlineLevel="0" collapsed="false">
      <c r="A1882" s="148" t="n">
        <v>42066</v>
      </c>
      <c r="B1882" s="37" t="n">
        <v>1405.52490234375</v>
      </c>
    </row>
    <row r="1883" customFormat="false" ht="15" hidden="false" customHeight="false" outlineLevel="0" collapsed="false">
      <c r="A1883" s="148" t="n">
        <v>42067</v>
      </c>
      <c r="B1883" s="37" t="n">
        <v>1349.54370117188</v>
      </c>
    </row>
    <row r="1884" customFormat="false" ht="15" hidden="false" customHeight="false" outlineLevel="0" collapsed="false">
      <c r="A1884" s="148" t="n">
        <v>42068</v>
      </c>
      <c r="B1884" s="37" t="n">
        <v>1399.52685546875</v>
      </c>
    </row>
    <row r="1885" customFormat="false" ht="15" hidden="false" customHeight="false" outlineLevel="0" collapsed="false">
      <c r="A1885" s="148" t="n">
        <v>42069</v>
      </c>
      <c r="B1885" s="37" t="n">
        <v>1351.54309082031</v>
      </c>
    </row>
    <row r="1886" customFormat="false" ht="15" hidden="false" customHeight="false" outlineLevel="0" collapsed="false">
      <c r="A1886" s="148" t="n">
        <v>42072</v>
      </c>
      <c r="B1886" s="37" t="n">
        <v>1357.541015625</v>
      </c>
    </row>
    <row r="1887" customFormat="false" ht="15" hidden="false" customHeight="false" outlineLevel="0" collapsed="false">
      <c r="A1887" s="148" t="n">
        <v>42073</v>
      </c>
      <c r="B1887" s="37" t="n">
        <v>1358.54077148438</v>
      </c>
    </row>
    <row r="1888" customFormat="false" ht="15" hidden="false" customHeight="false" outlineLevel="0" collapsed="false">
      <c r="A1888" s="148" t="n">
        <v>42074</v>
      </c>
      <c r="B1888" s="37" t="n">
        <v>1349.54370117188</v>
      </c>
    </row>
    <row r="1889" customFormat="false" ht="15" hidden="false" customHeight="false" outlineLevel="0" collapsed="false">
      <c r="A1889" s="148" t="n">
        <v>42075</v>
      </c>
      <c r="B1889" s="37" t="n">
        <v>1319.55395507813</v>
      </c>
    </row>
    <row r="1890" customFormat="false" ht="15" hidden="false" customHeight="false" outlineLevel="0" collapsed="false">
      <c r="A1890" s="148" t="n">
        <v>42076</v>
      </c>
      <c r="B1890" s="37" t="n">
        <v>1302.5595703125</v>
      </c>
    </row>
    <row r="1891" customFormat="false" ht="15" hidden="false" customHeight="false" outlineLevel="0" collapsed="false">
      <c r="A1891" s="148" t="n">
        <v>42079</v>
      </c>
      <c r="B1891" s="37" t="n">
        <v>1249.57763671875</v>
      </c>
    </row>
    <row r="1892" customFormat="false" ht="15" hidden="false" customHeight="false" outlineLevel="0" collapsed="false">
      <c r="A1892" s="148" t="n">
        <v>42080</v>
      </c>
      <c r="B1892" s="37" t="n">
        <v>1284.56567382813</v>
      </c>
    </row>
    <row r="1893" customFormat="false" ht="15" hidden="false" customHeight="false" outlineLevel="0" collapsed="false">
      <c r="A1893" s="148" t="n">
        <v>42081</v>
      </c>
      <c r="B1893" s="37" t="n">
        <v>1287.56469726563</v>
      </c>
    </row>
    <row r="1894" customFormat="false" ht="15" hidden="false" customHeight="false" outlineLevel="0" collapsed="false">
      <c r="A1894" s="148" t="n">
        <v>42082</v>
      </c>
      <c r="B1894" s="37" t="n">
        <v>1299.56079101563</v>
      </c>
    </row>
    <row r="1895" customFormat="false" ht="15" hidden="false" customHeight="false" outlineLevel="0" collapsed="false">
      <c r="A1895" s="148" t="n">
        <v>42083</v>
      </c>
      <c r="B1895" s="37" t="n">
        <v>1283.56616210938</v>
      </c>
    </row>
    <row r="1896" customFormat="false" ht="15" hidden="false" customHeight="false" outlineLevel="0" collapsed="false">
      <c r="A1896" s="148" t="n">
        <v>42086</v>
      </c>
      <c r="B1896" s="37" t="n">
        <v>1289.56408691406</v>
      </c>
    </row>
    <row r="1897" customFormat="false" ht="15" hidden="false" customHeight="false" outlineLevel="0" collapsed="false">
      <c r="A1897" s="148" t="n">
        <v>42087</v>
      </c>
      <c r="B1897" s="37" t="n">
        <v>1289.56408691406</v>
      </c>
    </row>
    <row r="1898" customFormat="false" ht="15" hidden="false" customHeight="false" outlineLevel="0" collapsed="false">
      <c r="A1898" s="148" t="n">
        <v>42088</v>
      </c>
      <c r="B1898" s="37" t="n">
        <v>1288.564453125</v>
      </c>
    </row>
    <row r="1899" customFormat="false" ht="15" hidden="false" customHeight="false" outlineLevel="0" collapsed="false">
      <c r="A1899" s="148" t="n">
        <v>42089</v>
      </c>
      <c r="B1899" s="37" t="n">
        <v>1274.56909179688</v>
      </c>
    </row>
    <row r="1900" customFormat="false" ht="15" hidden="false" customHeight="false" outlineLevel="0" collapsed="false">
      <c r="A1900" s="148" t="n">
        <v>42090</v>
      </c>
      <c r="B1900" s="37" t="n">
        <v>1299.56079101563</v>
      </c>
    </row>
    <row r="1901" customFormat="false" ht="15" hidden="false" customHeight="false" outlineLevel="0" collapsed="false">
      <c r="A1901" s="148" t="n">
        <v>42093</v>
      </c>
      <c r="B1901" s="37" t="n">
        <v>1285.5654296875</v>
      </c>
    </row>
    <row r="1902" customFormat="false" ht="15" hidden="false" customHeight="false" outlineLevel="0" collapsed="false">
      <c r="A1902" s="148" t="n">
        <v>42094</v>
      </c>
      <c r="B1902" s="37" t="n">
        <v>1285.5654296875</v>
      </c>
    </row>
    <row r="1903" customFormat="false" ht="15" hidden="false" customHeight="false" outlineLevel="0" collapsed="false">
      <c r="A1903" s="148" t="n">
        <v>42095</v>
      </c>
      <c r="B1903" s="37" t="n">
        <v>1299.56079101563</v>
      </c>
    </row>
    <row r="1904" customFormat="false" ht="15" hidden="false" customHeight="false" outlineLevel="0" collapsed="false">
      <c r="A1904" s="148" t="n">
        <v>42096</v>
      </c>
      <c r="B1904" s="37" t="n">
        <v>1299.56079101563</v>
      </c>
    </row>
    <row r="1905" customFormat="false" ht="15" hidden="false" customHeight="false" outlineLevel="0" collapsed="false">
      <c r="A1905" s="148" t="n">
        <v>42097</v>
      </c>
      <c r="B1905" s="37" t="n">
        <v>1299.56079101563</v>
      </c>
    </row>
    <row r="1906" customFormat="false" ht="15" hidden="false" customHeight="false" outlineLevel="0" collapsed="false">
      <c r="A1906" s="148" t="n">
        <v>42100</v>
      </c>
      <c r="B1906" s="37" t="n">
        <v>1299.56079101563</v>
      </c>
    </row>
    <row r="1907" customFormat="false" ht="15" hidden="false" customHeight="false" outlineLevel="0" collapsed="false">
      <c r="A1907" s="148" t="n">
        <v>42101</v>
      </c>
      <c r="B1907" s="37" t="n">
        <v>1299.56079101563</v>
      </c>
    </row>
    <row r="1908" customFormat="false" ht="15" hidden="false" customHeight="false" outlineLevel="0" collapsed="false">
      <c r="A1908" s="148" t="n">
        <v>42102</v>
      </c>
      <c r="B1908" s="37" t="n">
        <v>1299.56079101563</v>
      </c>
    </row>
    <row r="1909" customFormat="false" ht="15" hidden="false" customHeight="false" outlineLevel="0" collapsed="false">
      <c r="A1909" s="148" t="n">
        <v>42103</v>
      </c>
      <c r="B1909" s="37" t="n">
        <v>1399.52685546875</v>
      </c>
    </row>
    <row r="1910" customFormat="false" ht="15" hidden="false" customHeight="false" outlineLevel="0" collapsed="false">
      <c r="A1910" s="148" t="n">
        <v>42104</v>
      </c>
      <c r="B1910" s="37" t="n">
        <v>1409.52355957031</v>
      </c>
    </row>
    <row r="1911" customFormat="false" ht="15" hidden="false" customHeight="false" outlineLevel="0" collapsed="false">
      <c r="A1911" s="148" t="n">
        <v>42107</v>
      </c>
      <c r="B1911" s="37" t="n">
        <v>1409.52355957031</v>
      </c>
    </row>
    <row r="1912" customFormat="false" ht="15" hidden="false" customHeight="false" outlineLevel="0" collapsed="false">
      <c r="A1912" s="148" t="n">
        <v>42108</v>
      </c>
      <c r="B1912" s="37" t="n">
        <v>1419.52014160156</v>
      </c>
    </row>
    <row r="1913" customFormat="false" ht="15" hidden="false" customHeight="false" outlineLevel="0" collapsed="false">
      <c r="A1913" s="148" t="n">
        <v>42109</v>
      </c>
      <c r="B1913" s="37" t="n">
        <v>1401.52624511719</v>
      </c>
    </row>
    <row r="1914" customFormat="false" ht="15" hidden="false" customHeight="false" outlineLevel="0" collapsed="false">
      <c r="A1914" s="148" t="n">
        <v>42110</v>
      </c>
      <c r="B1914" s="37" t="n">
        <v>1448.51037597656</v>
      </c>
    </row>
    <row r="1915" customFormat="false" ht="15" hidden="false" customHeight="false" outlineLevel="0" collapsed="false">
      <c r="A1915" s="148" t="n">
        <v>42111</v>
      </c>
      <c r="B1915" s="37" t="n">
        <v>1447.51062011719</v>
      </c>
    </row>
    <row r="1916" customFormat="false" ht="15" hidden="false" customHeight="false" outlineLevel="0" collapsed="false">
      <c r="A1916" s="148" t="n">
        <v>42114</v>
      </c>
      <c r="B1916" s="37" t="n">
        <v>1366.5380859375</v>
      </c>
    </row>
    <row r="1917" customFormat="false" ht="15" hidden="false" customHeight="false" outlineLevel="0" collapsed="false">
      <c r="A1917" s="148" t="n">
        <v>42115</v>
      </c>
      <c r="B1917" s="37" t="n">
        <v>1389.5302734375</v>
      </c>
    </row>
    <row r="1918" customFormat="false" ht="15" hidden="false" customHeight="false" outlineLevel="0" collapsed="false">
      <c r="A1918" s="148" t="n">
        <v>42116</v>
      </c>
      <c r="B1918" s="37" t="n">
        <v>1389.5302734375</v>
      </c>
    </row>
    <row r="1919" customFormat="false" ht="15" hidden="false" customHeight="false" outlineLevel="0" collapsed="false">
      <c r="A1919" s="148" t="n">
        <v>42117</v>
      </c>
      <c r="B1919" s="37" t="n">
        <v>1429.51672363281</v>
      </c>
    </row>
    <row r="1920" customFormat="false" ht="15" hidden="false" customHeight="false" outlineLevel="0" collapsed="false">
      <c r="A1920" s="148" t="n">
        <v>42118</v>
      </c>
      <c r="B1920" s="37" t="n">
        <v>1399.52685546875</v>
      </c>
    </row>
    <row r="1921" customFormat="false" ht="15" hidden="false" customHeight="false" outlineLevel="0" collapsed="false">
      <c r="A1921" s="148" t="n">
        <v>42121</v>
      </c>
      <c r="B1921" s="37" t="n">
        <v>1399.52685546875</v>
      </c>
    </row>
    <row r="1922" customFormat="false" ht="15" hidden="false" customHeight="false" outlineLevel="0" collapsed="false">
      <c r="A1922" s="148" t="n">
        <v>42122</v>
      </c>
      <c r="B1922" s="37" t="n">
        <v>1399.52685546875</v>
      </c>
    </row>
    <row r="1923" customFormat="false" ht="15" hidden="false" customHeight="false" outlineLevel="0" collapsed="false">
      <c r="A1923" s="148" t="n">
        <v>42123</v>
      </c>
      <c r="B1923" s="37" t="n">
        <v>1389.5302734375</v>
      </c>
    </row>
    <row r="1924" customFormat="false" ht="15" hidden="false" customHeight="false" outlineLevel="0" collapsed="false">
      <c r="A1924" s="148" t="n">
        <v>42124</v>
      </c>
      <c r="B1924" s="37" t="n">
        <v>1390.52990722656</v>
      </c>
    </row>
    <row r="1925" customFormat="false" ht="15" hidden="false" customHeight="false" outlineLevel="0" collapsed="false">
      <c r="A1925" s="148" t="n">
        <v>42125</v>
      </c>
      <c r="B1925" s="37" t="n">
        <v>1390.52990722656</v>
      </c>
    </row>
    <row r="1926" customFormat="false" ht="15" hidden="false" customHeight="false" outlineLevel="0" collapsed="false">
      <c r="A1926" s="148" t="n">
        <v>42128</v>
      </c>
      <c r="B1926" s="37" t="n">
        <v>1419.52014160156</v>
      </c>
    </row>
    <row r="1927" customFormat="false" ht="15" hidden="false" customHeight="false" outlineLevel="0" collapsed="false">
      <c r="A1927" s="148" t="n">
        <v>42129</v>
      </c>
      <c r="B1927" s="37" t="n">
        <v>1449.51000976563</v>
      </c>
    </row>
    <row r="1928" customFormat="false" ht="15" hidden="false" customHeight="false" outlineLevel="0" collapsed="false">
      <c r="A1928" s="148" t="n">
        <v>42130</v>
      </c>
      <c r="B1928" s="37" t="n">
        <v>1547.47692871094</v>
      </c>
    </row>
    <row r="1929" customFormat="false" ht="15" hidden="false" customHeight="false" outlineLevel="0" collapsed="false">
      <c r="A1929" s="148" t="n">
        <v>42131</v>
      </c>
      <c r="B1929" s="37" t="n">
        <v>1498.49353027344</v>
      </c>
    </row>
    <row r="1930" customFormat="false" ht="15" hidden="false" customHeight="false" outlineLevel="0" collapsed="false">
      <c r="A1930" s="148" t="n">
        <v>42132</v>
      </c>
      <c r="B1930" s="37" t="n">
        <v>1479.49987792969</v>
      </c>
    </row>
    <row r="1931" customFormat="false" ht="15" hidden="false" customHeight="false" outlineLevel="0" collapsed="false">
      <c r="A1931" s="148" t="n">
        <v>42135</v>
      </c>
      <c r="B1931" s="37" t="n">
        <v>1579.46606445313</v>
      </c>
    </row>
    <row r="1932" customFormat="false" ht="15" hidden="false" customHeight="false" outlineLevel="0" collapsed="false">
      <c r="A1932" s="148" t="n">
        <v>42136</v>
      </c>
      <c r="B1932" s="37" t="n">
        <v>1659.43896484375</v>
      </c>
    </row>
    <row r="1933" customFormat="false" ht="15" hidden="false" customHeight="false" outlineLevel="0" collapsed="false">
      <c r="A1933" s="148" t="n">
        <v>42137</v>
      </c>
      <c r="B1933" s="37" t="n">
        <v>1660.43872070313</v>
      </c>
    </row>
    <row r="1934" customFormat="false" ht="15" hidden="false" customHeight="false" outlineLevel="0" collapsed="false">
      <c r="A1934" s="148" t="n">
        <v>42138</v>
      </c>
      <c r="B1934" s="37" t="n">
        <v>1678.4326171875</v>
      </c>
    </row>
    <row r="1935" customFormat="false" ht="15" hidden="false" customHeight="false" outlineLevel="0" collapsed="false">
      <c r="A1935" s="148" t="n">
        <v>42139</v>
      </c>
      <c r="B1935" s="37" t="n">
        <v>1699.42553710938</v>
      </c>
    </row>
    <row r="1936" customFormat="false" ht="15" hidden="false" customHeight="false" outlineLevel="0" collapsed="false">
      <c r="A1936" s="148" t="n">
        <v>42142</v>
      </c>
      <c r="B1936" s="37" t="n">
        <v>1754.40686035156</v>
      </c>
    </row>
    <row r="1937" customFormat="false" ht="15" hidden="false" customHeight="false" outlineLevel="0" collapsed="false">
      <c r="A1937" s="148" t="n">
        <v>42143</v>
      </c>
      <c r="B1937" s="37" t="n">
        <v>1799.39172363281</v>
      </c>
    </row>
    <row r="1938" customFormat="false" ht="15" hidden="false" customHeight="false" outlineLevel="0" collapsed="false">
      <c r="A1938" s="148" t="n">
        <v>42144</v>
      </c>
      <c r="B1938" s="37" t="n">
        <v>1824.38317871094</v>
      </c>
    </row>
    <row r="1939" customFormat="false" ht="15" hidden="false" customHeight="false" outlineLevel="0" collapsed="false">
      <c r="A1939" s="148" t="n">
        <v>42145</v>
      </c>
      <c r="B1939" s="37" t="n">
        <v>1801.39099121094</v>
      </c>
    </row>
    <row r="1940" customFormat="false" ht="15" hidden="false" customHeight="false" outlineLevel="0" collapsed="false">
      <c r="A1940" s="148" t="n">
        <v>42146</v>
      </c>
      <c r="B1940" s="37" t="n">
        <v>1799.39172363281</v>
      </c>
    </row>
    <row r="1941" customFormat="false" ht="15" hidden="false" customHeight="false" outlineLevel="0" collapsed="false">
      <c r="A1941" s="148" t="n">
        <v>42149</v>
      </c>
      <c r="B1941" s="37" t="n">
        <v>1811.38757324219</v>
      </c>
    </row>
    <row r="1942" customFormat="false" ht="15" hidden="false" customHeight="false" outlineLevel="0" collapsed="false">
      <c r="A1942" s="148" t="n">
        <v>42150</v>
      </c>
      <c r="B1942" s="37" t="n">
        <v>1799.39172363281</v>
      </c>
    </row>
    <row r="1943" customFormat="false" ht="15" hidden="false" customHeight="false" outlineLevel="0" collapsed="false">
      <c r="A1943" s="148" t="n">
        <v>42151</v>
      </c>
      <c r="B1943" s="37" t="n">
        <v>1749.40856933594</v>
      </c>
    </row>
    <row r="1944" customFormat="false" ht="15" hidden="false" customHeight="false" outlineLevel="0" collapsed="false">
      <c r="A1944" s="148" t="n">
        <v>42152</v>
      </c>
      <c r="B1944" s="37" t="n">
        <v>1679.43225097656</v>
      </c>
    </row>
    <row r="1945" customFormat="false" ht="15" hidden="false" customHeight="false" outlineLevel="0" collapsed="false">
      <c r="A1945" s="148" t="n">
        <v>42153</v>
      </c>
      <c r="B1945" s="37" t="n">
        <v>1675.43359375</v>
      </c>
    </row>
    <row r="1946" customFormat="false" ht="15" hidden="false" customHeight="false" outlineLevel="0" collapsed="false">
      <c r="A1946" s="148" t="n">
        <v>42156</v>
      </c>
      <c r="B1946" s="37" t="n">
        <v>1629.44921875</v>
      </c>
    </row>
    <row r="1947" customFormat="false" ht="15" hidden="false" customHeight="false" outlineLevel="0" collapsed="false">
      <c r="A1947" s="148" t="n">
        <v>42157</v>
      </c>
      <c r="B1947" s="37" t="n">
        <v>1629.44921875</v>
      </c>
    </row>
    <row r="1948" customFormat="false" ht="15" hidden="false" customHeight="false" outlineLevel="0" collapsed="false">
      <c r="A1948" s="148" t="n">
        <v>42158</v>
      </c>
      <c r="B1948" s="37" t="n">
        <v>1619.45263671875</v>
      </c>
    </row>
    <row r="1949" customFormat="false" ht="15" hidden="false" customHeight="false" outlineLevel="0" collapsed="false">
      <c r="A1949" s="148" t="n">
        <v>42159</v>
      </c>
      <c r="B1949" s="37" t="n">
        <v>1599.45922851563</v>
      </c>
    </row>
    <row r="1950" customFormat="false" ht="15" hidden="false" customHeight="false" outlineLevel="0" collapsed="false">
      <c r="A1950" s="148" t="n">
        <v>42160</v>
      </c>
      <c r="B1950" s="37" t="n">
        <v>1639.44580078125</v>
      </c>
    </row>
    <row r="1951" customFormat="false" ht="15" hidden="false" customHeight="false" outlineLevel="0" collapsed="false">
      <c r="A1951" s="148" t="n">
        <v>42163</v>
      </c>
      <c r="B1951" s="37" t="n">
        <v>1649.4423828125</v>
      </c>
    </row>
    <row r="1952" customFormat="false" ht="15" hidden="false" customHeight="false" outlineLevel="0" collapsed="false">
      <c r="A1952" s="148" t="n">
        <v>42164</v>
      </c>
      <c r="B1952" s="37" t="n">
        <v>1689.42895507813</v>
      </c>
    </row>
    <row r="1953" customFormat="false" ht="15" hidden="false" customHeight="false" outlineLevel="0" collapsed="false">
      <c r="A1953" s="148" t="n">
        <v>42165</v>
      </c>
      <c r="B1953" s="37" t="n">
        <v>1654.44067382813</v>
      </c>
    </row>
    <row r="1954" customFormat="false" ht="15" hidden="false" customHeight="false" outlineLevel="0" collapsed="false">
      <c r="A1954" s="148" t="n">
        <v>42166</v>
      </c>
      <c r="B1954" s="37" t="n">
        <v>1689.42895507813</v>
      </c>
    </row>
    <row r="1955" customFormat="false" ht="15" hidden="false" customHeight="false" outlineLevel="0" collapsed="false">
      <c r="A1955" s="148" t="n">
        <v>42167</v>
      </c>
      <c r="B1955" s="37" t="n">
        <v>1679.43225097656</v>
      </c>
    </row>
    <row r="1956" customFormat="false" ht="15" hidden="false" customHeight="false" outlineLevel="0" collapsed="false">
      <c r="A1956" s="148" t="n">
        <v>42170</v>
      </c>
      <c r="B1956" s="37" t="n">
        <v>1649.4423828125</v>
      </c>
    </row>
    <row r="1957" customFormat="false" ht="15" hidden="false" customHeight="false" outlineLevel="0" collapsed="false">
      <c r="A1957" s="148" t="n">
        <v>42171</v>
      </c>
      <c r="B1957" s="37" t="n">
        <v>1649.4423828125</v>
      </c>
    </row>
    <row r="1958" customFormat="false" ht="15" hidden="false" customHeight="false" outlineLevel="0" collapsed="false">
      <c r="A1958" s="148" t="n">
        <v>42172</v>
      </c>
      <c r="B1958" s="37" t="n">
        <v>1689.42895507813</v>
      </c>
    </row>
    <row r="1959" customFormat="false" ht="15" hidden="false" customHeight="false" outlineLevel="0" collapsed="false">
      <c r="A1959" s="148" t="n">
        <v>42173</v>
      </c>
      <c r="B1959" s="37" t="n">
        <v>1719.41870117188</v>
      </c>
    </row>
    <row r="1960" customFormat="false" ht="15" hidden="false" customHeight="false" outlineLevel="0" collapsed="false">
      <c r="A1960" s="148" t="n">
        <v>42174</v>
      </c>
      <c r="B1960" s="37" t="n">
        <v>1707.4228515625</v>
      </c>
    </row>
    <row r="1961" customFormat="false" ht="15" hidden="false" customHeight="false" outlineLevel="0" collapsed="false">
      <c r="A1961" s="148" t="n">
        <v>42177</v>
      </c>
      <c r="B1961" s="37" t="n">
        <v>1759.4052734375</v>
      </c>
    </row>
    <row r="1962" customFormat="false" ht="15" hidden="false" customHeight="false" outlineLevel="0" collapsed="false">
      <c r="A1962" s="148" t="n">
        <v>42178</v>
      </c>
      <c r="B1962" s="37" t="n">
        <v>1749.40856933594</v>
      </c>
    </row>
    <row r="1963" customFormat="false" ht="15" hidden="false" customHeight="false" outlineLevel="0" collapsed="false">
      <c r="A1963" s="148" t="n">
        <v>42179</v>
      </c>
      <c r="B1963" s="37" t="n">
        <v>1789.39514160156</v>
      </c>
    </row>
    <row r="1964" customFormat="false" ht="15" hidden="false" customHeight="false" outlineLevel="0" collapsed="false">
      <c r="A1964" s="148" t="n">
        <v>42180</v>
      </c>
      <c r="B1964" s="37" t="n">
        <v>1849.37487792969</v>
      </c>
    </row>
    <row r="1965" customFormat="false" ht="15" hidden="false" customHeight="false" outlineLevel="0" collapsed="false">
      <c r="A1965" s="148" t="n">
        <v>42181</v>
      </c>
      <c r="B1965" s="37" t="n">
        <v>1939.34448242188</v>
      </c>
    </row>
    <row r="1966" customFormat="false" ht="15" hidden="false" customHeight="false" outlineLevel="0" collapsed="false">
      <c r="A1966" s="148" t="n">
        <v>42184</v>
      </c>
      <c r="B1966" s="37" t="n">
        <v>1959.33764648438</v>
      </c>
    </row>
    <row r="1967" customFormat="false" ht="15" hidden="false" customHeight="false" outlineLevel="0" collapsed="false">
      <c r="A1967" s="148" t="n">
        <v>42185</v>
      </c>
      <c r="B1967" s="37" t="n">
        <v>1964.3359375</v>
      </c>
    </row>
    <row r="1968" customFormat="false" ht="15" hidden="false" customHeight="false" outlineLevel="0" collapsed="false">
      <c r="A1968" s="148" t="n">
        <v>42186</v>
      </c>
      <c r="B1968" s="37" t="n">
        <v>1994.32592773438</v>
      </c>
    </row>
    <row r="1969" customFormat="false" ht="15" hidden="false" customHeight="false" outlineLevel="0" collapsed="false">
      <c r="A1969" s="148" t="n">
        <v>42187</v>
      </c>
      <c r="B1969" s="37" t="n">
        <v>2000.32373046875</v>
      </c>
    </row>
    <row r="1970" customFormat="false" ht="15" hidden="false" customHeight="false" outlineLevel="0" collapsed="false">
      <c r="A1970" s="148" t="n">
        <v>42188</v>
      </c>
      <c r="B1970" s="37" t="n">
        <v>2049.30712890625</v>
      </c>
    </row>
    <row r="1971" customFormat="false" ht="15" hidden="false" customHeight="false" outlineLevel="0" collapsed="false">
      <c r="A1971" s="148" t="n">
        <v>42191</v>
      </c>
      <c r="B1971" s="37" t="n">
        <v>2005.32202148438</v>
      </c>
    </row>
    <row r="1972" customFormat="false" ht="15" hidden="false" customHeight="false" outlineLevel="0" collapsed="false">
      <c r="A1972" s="148" t="n">
        <v>42192</v>
      </c>
      <c r="B1972" s="37" t="n">
        <v>2059.3037109375</v>
      </c>
    </row>
    <row r="1973" customFormat="false" ht="15" hidden="false" customHeight="false" outlineLevel="0" collapsed="false">
      <c r="A1973" s="148" t="n">
        <v>42193</v>
      </c>
      <c r="B1973" s="37" t="n">
        <v>2038.31091308594</v>
      </c>
    </row>
    <row r="1974" customFormat="false" ht="15" hidden="false" customHeight="false" outlineLevel="0" collapsed="false">
      <c r="A1974" s="148" t="n">
        <v>42194</v>
      </c>
      <c r="B1974" s="37" t="n">
        <v>2029.31396484375</v>
      </c>
    </row>
    <row r="1975" customFormat="false" ht="15" hidden="false" customHeight="false" outlineLevel="0" collapsed="false">
      <c r="A1975" s="148" t="n">
        <v>42195</v>
      </c>
      <c r="B1975" s="37" t="n">
        <v>2055.30517578125</v>
      </c>
    </row>
    <row r="1976" customFormat="false" ht="15" hidden="false" customHeight="false" outlineLevel="0" collapsed="false">
      <c r="A1976" s="148" t="n">
        <v>42198</v>
      </c>
      <c r="B1976" s="37" t="n">
        <v>2100.2900390625</v>
      </c>
    </row>
    <row r="1977" customFormat="false" ht="15" hidden="false" customHeight="false" outlineLevel="0" collapsed="false">
      <c r="A1977" s="148" t="n">
        <v>42199</v>
      </c>
      <c r="B1977" s="37" t="n">
        <v>2149.2734375</v>
      </c>
    </row>
    <row r="1978" customFormat="false" ht="15" hidden="false" customHeight="false" outlineLevel="0" collapsed="false">
      <c r="A1978" s="148" t="n">
        <v>42200</v>
      </c>
      <c r="B1978" s="37" t="n">
        <v>2135.27807617188</v>
      </c>
    </row>
    <row r="1979" customFormat="false" ht="15" hidden="false" customHeight="false" outlineLevel="0" collapsed="false">
      <c r="A1979" s="148" t="n">
        <v>42201</v>
      </c>
      <c r="B1979" s="37" t="n">
        <v>2145.27490234375</v>
      </c>
    </row>
    <row r="1980" customFormat="false" ht="15" hidden="false" customHeight="false" outlineLevel="0" collapsed="false">
      <c r="A1980" s="148" t="n">
        <v>42202</v>
      </c>
      <c r="B1980" s="37" t="n">
        <v>2147.27416992188</v>
      </c>
    </row>
    <row r="1981" customFormat="false" ht="15" hidden="false" customHeight="false" outlineLevel="0" collapsed="false">
      <c r="A1981" s="148" t="n">
        <v>42205</v>
      </c>
      <c r="B1981" s="37" t="n">
        <v>2148.27368164063</v>
      </c>
    </row>
    <row r="1982" customFormat="false" ht="15" hidden="false" customHeight="false" outlineLevel="0" collapsed="false">
      <c r="A1982" s="148" t="n">
        <v>42206</v>
      </c>
      <c r="B1982" s="37" t="n">
        <v>2149.2734375</v>
      </c>
    </row>
    <row r="1983" customFormat="false" ht="15" hidden="false" customHeight="false" outlineLevel="0" collapsed="false">
      <c r="A1983" s="148" t="n">
        <v>42207</v>
      </c>
      <c r="B1983" s="37" t="n">
        <v>2129.2802734375</v>
      </c>
    </row>
    <row r="1984" customFormat="false" ht="15" hidden="false" customHeight="false" outlineLevel="0" collapsed="false">
      <c r="A1984" s="148" t="n">
        <v>42208</v>
      </c>
      <c r="B1984" s="37" t="n">
        <v>2099.29028320313</v>
      </c>
    </row>
    <row r="1985" customFormat="false" ht="15" hidden="false" customHeight="false" outlineLevel="0" collapsed="false">
      <c r="A1985" s="148" t="n">
        <v>42209</v>
      </c>
      <c r="B1985" s="37" t="n">
        <v>2064.30224609375</v>
      </c>
    </row>
    <row r="1986" customFormat="false" ht="15" hidden="false" customHeight="false" outlineLevel="0" collapsed="false">
      <c r="A1986" s="148" t="n">
        <v>42212</v>
      </c>
      <c r="B1986" s="37" t="n">
        <v>1969.33422851563</v>
      </c>
    </row>
    <row r="1987" customFormat="false" ht="15" hidden="false" customHeight="false" outlineLevel="0" collapsed="false">
      <c r="A1987" s="148" t="n">
        <v>42213</v>
      </c>
      <c r="B1987" s="37" t="n">
        <v>1979.33081054688</v>
      </c>
    </row>
    <row r="1988" customFormat="false" ht="15" hidden="false" customHeight="false" outlineLevel="0" collapsed="false">
      <c r="A1988" s="148" t="n">
        <v>42214</v>
      </c>
      <c r="B1988" s="37" t="n">
        <v>1983.32958984375</v>
      </c>
    </row>
    <row r="1989" customFormat="false" ht="15" hidden="false" customHeight="false" outlineLevel="0" collapsed="false">
      <c r="A1989" s="148" t="n">
        <v>42215</v>
      </c>
      <c r="B1989" s="37" t="n">
        <v>1989.32751464844</v>
      </c>
    </row>
    <row r="1990" customFormat="false" ht="15" hidden="false" customHeight="false" outlineLevel="0" collapsed="false">
      <c r="A1990" s="148" t="n">
        <v>42216</v>
      </c>
      <c r="B1990" s="37" t="n">
        <v>2039.31066894531</v>
      </c>
    </row>
    <row r="1991" customFormat="false" ht="15" hidden="false" customHeight="false" outlineLevel="0" collapsed="false">
      <c r="A1991" s="148" t="n">
        <v>42219</v>
      </c>
      <c r="B1991" s="37" t="n">
        <v>2189.26000976563</v>
      </c>
    </row>
    <row r="1992" customFormat="false" ht="15" hidden="false" customHeight="false" outlineLevel="0" collapsed="false">
      <c r="A1992" s="148" t="n">
        <v>42220</v>
      </c>
      <c r="B1992" s="37" t="n">
        <v>2186.26098632813</v>
      </c>
    </row>
    <row r="1993" customFormat="false" ht="15" hidden="false" customHeight="false" outlineLevel="0" collapsed="false">
      <c r="A1993" s="148" t="n">
        <v>42221</v>
      </c>
      <c r="B1993" s="37" t="n">
        <v>2149.2734375</v>
      </c>
    </row>
    <row r="1994" customFormat="false" ht="15" hidden="false" customHeight="false" outlineLevel="0" collapsed="false">
      <c r="A1994" s="148" t="n">
        <v>42222</v>
      </c>
      <c r="B1994" s="37" t="n">
        <v>2060.30346679688</v>
      </c>
    </row>
    <row r="1995" customFormat="false" ht="15" hidden="false" customHeight="false" outlineLevel="0" collapsed="false">
      <c r="A1995" s="148" t="n">
        <v>42223</v>
      </c>
      <c r="B1995" s="37" t="n">
        <v>2079.29711914063</v>
      </c>
    </row>
    <row r="1996" customFormat="false" ht="15" hidden="false" customHeight="false" outlineLevel="0" collapsed="false">
      <c r="A1996" s="148" t="n">
        <v>42226</v>
      </c>
      <c r="B1996" s="37" t="n">
        <v>2079.29711914063</v>
      </c>
    </row>
    <row r="1997" customFormat="false" ht="15" hidden="false" customHeight="false" outlineLevel="0" collapsed="false">
      <c r="A1997" s="148" t="n">
        <v>42227</v>
      </c>
      <c r="B1997" s="37" t="n">
        <v>2249.23950195313</v>
      </c>
    </row>
    <row r="1998" customFormat="false" ht="15" hidden="false" customHeight="false" outlineLevel="0" collapsed="false">
      <c r="A1998" s="148" t="n">
        <v>42228</v>
      </c>
      <c r="B1998" s="37" t="n">
        <v>2180.26293945313</v>
      </c>
    </row>
    <row r="1999" customFormat="false" ht="15" hidden="false" customHeight="false" outlineLevel="0" collapsed="false">
      <c r="A1999" s="148" t="n">
        <v>42229</v>
      </c>
      <c r="B1999" s="37" t="n">
        <v>2183.26196289063</v>
      </c>
    </row>
    <row r="2000" customFormat="false" ht="15" hidden="false" customHeight="false" outlineLevel="0" collapsed="false">
      <c r="A2000" s="148" t="n">
        <v>42230</v>
      </c>
      <c r="B2000" s="37" t="n">
        <v>2174.26489257813</v>
      </c>
    </row>
    <row r="2001" customFormat="false" ht="15" hidden="false" customHeight="false" outlineLevel="0" collapsed="false">
      <c r="A2001" s="148" t="n">
        <v>42233</v>
      </c>
      <c r="B2001" s="37" t="n">
        <v>2164.26831054688</v>
      </c>
    </row>
    <row r="2002" customFormat="false" ht="15" hidden="false" customHeight="false" outlineLevel="0" collapsed="false">
      <c r="A2002" s="148" t="n">
        <v>42234</v>
      </c>
      <c r="B2002" s="37" t="n">
        <v>2148.27368164063</v>
      </c>
    </row>
    <row r="2003" customFormat="false" ht="15" hidden="false" customHeight="false" outlineLevel="0" collapsed="false">
      <c r="A2003" s="148" t="n">
        <v>42235</v>
      </c>
      <c r="B2003" s="37" t="n">
        <v>2098.29077148438</v>
      </c>
    </row>
    <row r="2004" customFormat="false" ht="15" hidden="false" customHeight="false" outlineLevel="0" collapsed="false">
      <c r="A2004" s="148" t="n">
        <v>42236</v>
      </c>
      <c r="B2004" s="37" t="n">
        <v>2039.31066894531</v>
      </c>
    </row>
    <row r="2005" customFormat="false" ht="15" hidden="false" customHeight="false" outlineLevel="0" collapsed="false">
      <c r="A2005" s="148" t="n">
        <v>42237</v>
      </c>
      <c r="B2005" s="37" t="n">
        <v>1884.36303710938</v>
      </c>
    </row>
    <row r="2006" customFormat="false" ht="15" hidden="false" customHeight="false" outlineLevel="0" collapsed="false">
      <c r="A2006" s="148" t="n">
        <v>42240</v>
      </c>
      <c r="B2006" s="37" t="n">
        <v>1809.38830566406</v>
      </c>
    </row>
    <row r="2007" customFormat="false" ht="15" hidden="false" customHeight="false" outlineLevel="0" collapsed="false">
      <c r="A2007" s="148" t="n">
        <v>42241</v>
      </c>
      <c r="B2007" s="37" t="n">
        <v>1810.38806152344</v>
      </c>
    </row>
    <row r="2008" customFormat="false" ht="15" hidden="false" customHeight="false" outlineLevel="0" collapsed="false">
      <c r="A2008" s="148" t="n">
        <v>42242</v>
      </c>
      <c r="B2008" s="37" t="n">
        <v>1771.40124511719</v>
      </c>
    </row>
    <row r="2009" customFormat="false" ht="15" hidden="false" customHeight="false" outlineLevel="0" collapsed="false">
      <c r="A2009" s="148" t="n">
        <v>42243</v>
      </c>
      <c r="B2009" s="37" t="n">
        <v>1849.37487792969</v>
      </c>
    </row>
    <row r="2010" customFormat="false" ht="15" hidden="false" customHeight="false" outlineLevel="0" collapsed="false">
      <c r="A2010" s="148" t="n">
        <v>42244</v>
      </c>
      <c r="B2010" s="37" t="n">
        <v>1949.34106445313</v>
      </c>
    </row>
    <row r="2011" customFormat="false" ht="15" hidden="false" customHeight="false" outlineLevel="0" collapsed="false">
      <c r="A2011" s="148" t="n">
        <v>42247</v>
      </c>
      <c r="B2011" s="37" t="n">
        <v>1996.3251953125</v>
      </c>
    </row>
    <row r="2012" customFormat="false" ht="15" hidden="false" customHeight="false" outlineLevel="0" collapsed="false">
      <c r="A2012" s="148" t="n">
        <v>42248</v>
      </c>
      <c r="B2012" s="37" t="n">
        <v>1904.35620117188</v>
      </c>
    </row>
    <row r="2013" customFormat="false" ht="15" hidden="false" customHeight="false" outlineLevel="0" collapsed="false">
      <c r="A2013" s="148" t="n">
        <v>42249</v>
      </c>
      <c r="B2013" s="37" t="n">
        <v>1949.34106445313</v>
      </c>
    </row>
    <row r="2014" customFormat="false" ht="15" hidden="false" customHeight="false" outlineLevel="0" collapsed="false">
      <c r="A2014" s="148" t="n">
        <v>42250</v>
      </c>
      <c r="B2014" s="37" t="n">
        <v>2024.31567382813</v>
      </c>
    </row>
    <row r="2015" customFormat="false" ht="15" hidden="false" customHeight="false" outlineLevel="0" collapsed="false">
      <c r="A2015" s="148" t="n">
        <v>42251</v>
      </c>
      <c r="B2015" s="37" t="n">
        <v>2009.32080078125</v>
      </c>
    </row>
    <row r="2016" customFormat="false" ht="15" hidden="false" customHeight="false" outlineLevel="0" collapsed="false">
      <c r="A2016" s="148" t="n">
        <v>42254</v>
      </c>
      <c r="B2016" s="37" t="n">
        <v>1904.35620117188</v>
      </c>
    </row>
    <row r="2017" customFormat="false" ht="15" hidden="false" customHeight="false" outlineLevel="0" collapsed="false">
      <c r="A2017" s="148" t="n">
        <v>42255</v>
      </c>
      <c r="B2017" s="37" t="n">
        <v>1938.3447265625</v>
      </c>
    </row>
    <row r="2018" customFormat="false" ht="15" hidden="false" customHeight="false" outlineLevel="0" collapsed="false">
      <c r="A2018" s="148" t="n">
        <v>42256</v>
      </c>
      <c r="B2018" s="37" t="n">
        <v>1924.34948730469</v>
      </c>
    </row>
    <row r="2019" customFormat="false" ht="15" hidden="false" customHeight="false" outlineLevel="0" collapsed="false">
      <c r="A2019" s="148" t="n">
        <v>42257</v>
      </c>
      <c r="B2019" s="37" t="n">
        <v>1989.32751464844</v>
      </c>
    </row>
    <row r="2020" customFormat="false" ht="15" hidden="false" customHeight="false" outlineLevel="0" collapsed="false">
      <c r="A2020" s="148" t="n">
        <v>42258</v>
      </c>
      <c r="B2020" s="37" t="n">
        <v>1999.32421875</v>
      </c>
    </row>
    <row r="2021" customFormat="false" ht="15" hidden="false" customHeight="false" outlineLevel="0" collapsed="false">
      <c r="A2021" s="148" t="n">
        <v>42261</v>
      </c>
      <c r="B2021" s="37" t="n">
        <v>1949.34106445313</v>
      </c>
    </row>
    <row r="2022" customFormat="false" ht="15" hidden="false" customHeight="false" outlineLevel="0" collapsed="false">
      <c r="A2022" s="148" t="n">
        <v>42262</v>
      </c>
      <c r="B2022" s="37" t="n">
        <v>1949.34106445313</v>
      </c>
    </row>
    <row r="2023" customFormat="false" ht="15" hidden="false" customHeight="false" outlineLevel="0" collapsed="false">
      <c r="A2023" s="148" t="n">
        <v>42263</v>
      </c>
      <c r="B2023" s="37" t="n">
        <v>1986.32861328125</v>
      </c>
    </row>
    <row r="2024" customFormat="false" ht="15" hidden="false" customHeight="false" outlineLevel="0" collapsed="false">
      <c r="A2024" s="148" t="n">
        <v>42264</v>
      </c>
      <c r="B2024" s="37" t="n">
        <v>1993.326171875</v>
      </c>
    </row>
    <row r="2025" customFormat="false" ht="15" hidden="false" customHeight="false" outlineLevel="0" collapsed="false">
      <c r="A2025" s="148" t="n">
        <v>42265</v>
      </c>
      <c r="B2025" s="37" t="n">
        <v>1950.34069824219</v>
      </c>
    </row>
    <row r="2026" customFormat="false" ht="15" hidden="false" customHeight="false" outlineLevel="0" collapsed="false">
      <c r="A2026" s="148" t="n">
        <v>42268</v>
      </c>
      <c r="B2026" s="37" t="n">
        <v>1949.34106445313</v>
      </c>
    </row>
    <row r="2027" customFormat="false" ht="15" hidden="false" customHeight="false" outlineLevel="0" collapsed="false">
      <c r="A2027" s="148" t="n">
        <v>42269</v>
      </c>
      <c r="B2027" s="37" t="n">
        <v>1989.32751464844</v>
      </c>
    </row>
    <row r="2028" customFormat="false" ht="15" hidden="false" customHeight="false" outlineLevel="0" collapsed="false">
      <c r="A2028" s="148" t="n">
        <v>42270</v>
      </c>
      <c r="B2028" s="37" t="n">
        <v>1999.32421875</v>
      </c>
    </row>
    <row r="2029" customFormat="false" ht="15" hidden="false" customHeight="false" outlineLevel="0" collapsed="false">
      <c r="A2029" s="148" t="n">
        <v>42271</v>
      </c>
      <c r="B2029" s="37" t="n">
        <v>1999.32421875</v>
      </c>
    </row>
    <row r="2030" customFormat="false" ht="15" hidden="false" customHeight="false" outlineLevel="0" collapsed="false">
      <c r="A2030" s="148" t="n">
        <v>42272</v>
      </c>
      <c r="B2030" s="37" t="n">
        <v>2073.29907226563</v>
      </c>
    </row>
    <row r="2031" customFormat="false" ht="15" hidden="false" customHeight="false" outlineLevel="0" collapsed="false">
      <c r="A2031" s="148" t="n">
        <v>42275</v>
      </c>
      <c r="B2031" s="37" t="n">
        <v>2084.29541015625</v>
      </c>
    </row>
    <row r="2032" customFormat="false" ht="15" hidden="false" customHeight="false" outlineLevel="0" collapsed="false">
      <c r="A2032" s="148" t="n">
        <v>42276</v>
      </c>
      <c r="B2032" s="37" t="n">
        <v>2033.31262207031</v>
      </c>
    </row>
    <row r="2033" customFormat="false" ht="15" hidden="false" customHeight="false" outlineLevel="0" collapsed="false">
      <c r="A2033" s="148" t="n">
        <v>42277</v>
      </c>
      <c r="B2033" s="37" t="n">
        <v>2093.29248046875</v>
      </c>
    </row>
    <row r="2034" customFormat="false" ht="15" hidden="false" customHeight="false" outlineLevel="0" collapsed="false">
      <c r="A2034" s="148" t="n">
        <v>42278</v>
      </c>
      <c r="B2034" s="37" t="n">
        <v>2054.3056640625</v>
      </c>
    </row>
    <row r="2035" customFormat="false" ht="15" hidden="false" customHeight="false" outlineLevel="0" collapsed="false">
      <c r="A2035" s="148" t="n">
        <v>42279</v>
      </c>
      <c r="B2035" s="37" t="n">
        <v>2010.32043457031</v>
      </c>
    </row>
    <row r="2036" customFormat="false" ht="15" hidden="false" customHeight="false" outlineLevel="0" collapsed="false">
      <c r="A2036" s="148" t="n">
        <v>42282</v>
      </c>
      <c r="B2036" s="37" t="n">
        <v>2093.29248046875</v>
      </c>
    </row>
    <row r="2037" customFormat="false" ht="15" hidden="false" customHeight="false" outlineLevel="0" collapsed="false">
      <c r="A2037" s="148" t="n">
        <v>42283</v>
      </c>
      <c r="B2037" s="37" t="n">
        <v>2098.29077148438</v>
      </c>
    </row>
    <row r="2038" customFormat="false" ht="15" hidden="false" customHeight="false" outlineLevel="0" collapsed="false">
      <c r="A2038" s="148" t="n">
        <v>42284</v>
      </c>
      <c r="B2038" s="37" t="n">
        <v>2054.3056640625</v>
      </c>
    </row>
    <row r="2039" customFormat="false" ht="15" hidden="false" customHeight="false" outlineLevel="0" collapsed="false">
      <c r="A2039" s="148" t="n">
        <v>42285</v>
      </c>
      <c r="B2039" s="37" t="n">
        <v>2055.30517578125</v>
      </c>
    </row>
    <row r="2040" customFormat="false" ht="15" hidden="false" customHeight="false" outlineLevel="0" collapsed="false">
      <c r="A2040" s="148" t="n">
        <v>42286</v>
      </c>
      <c r="B2040" s="37" t="n">
        <v>2055.30517578125</v>
      </c>
    </row>
    <row r="2041" customFormat="false" ht="15" hidden="false" customHeight="false" outlineLevel="0" collapsed="false">
      <c r="A2041" s="148" t="n">
        <v>42289</v>
      </c>
      <c r="B2041" s="37" t="n">
        <v>2100.2900390625</v>
      </c>
    </row>
    <row r="2042" customFormat="false" ht="15" hidden="false" customHeight="false" outlineLevel="0" collapsed="false">
      <c r="A2042" s="148" t="n">
        <v>42290</v>
      </c>
      <c r="B2042" s="37" t="n">
        <v>2168.26708984375</v>
      </c>
    </row>
    <row r="2043" customFormat="false" ht="15" hidden="false" customHeight="false" outlineLevel="0" collapsed="false">
      <c r="A2043" s="148" t="n">
        <v>42291</v>
      </c>
      <c r="B2043" s="37" t="n">
        <v>2194.25830078125</v>
      </c>
    </row>
    <row r="2044" customFormat="false" ht="15" hidden="false" customHeight="false" outlineLevel="0" collapsed="false">
      <c r="A2044" s="148" t="n">
        <v>42292</v>
      </c>
      <c r="B2044" s="37" t="n">
        <v>2199.25659179688</v>
      </c>
    </row>
    <row r="2045" customFormat="false" ht="15" hidden="false" customHeight="false" outlineLevel="0" collapsed="false">
      <c r="A2045" s="148" t="n">
        <v>42293</v>
      </c>
      <c r="B2045" s="37" t="n">
        <v>2199.25659179688</v>
      </c>
    </row>
    <row r="2046" customFormat="false" ht="15" hidden="false" customHeight="false" outlineLevel="0" collapsed="false">
      <c r="A2046" s="148" t="n">
        <v>42296</v>
      </c>
      <c r="B2046" s="37" t="n">
        <v>2198.2568359375</v>
      </c>
    </row>
    <row r="2047" customFormat="false" ht="15" hidden="false" customHeight="false" outlineLevel="0" collapsed="false">
      <c r="A2047" s="148" t="n">
        <v>42297</v>
      </c>
      <c r="B2047" s="37" t="n">
        <v>2179.26342773438</v>
      </c>
    </row>
    <row r="2048" customFormat="false" ht="15" hidden="false" customHeight="false" outlineLevel="0" collapsed="false">
      <c r="A2048" s="148" t="n">
        <v>42298</v>
      </c>
      <c r="B2048" s="37" t="n">
        <v>2163.26879882813</v>
      </c>
    </row>
    <row r="2049" customFormat="false" ht="15" hidden="false" customHeight="false" outlineLevel="0" collapsed="false">
      <c r="A2049" s="148" t="n">
        <v>42299</v>
      </c>
      <c r="B2049" s="37" t="n">
        <v>2159.27001953125</v>
      </c>
    </row>
    <row r="2050" customFormat="false" ht="15" hidden="false" customHeight="false" outlineLevel="0" collapsed="false">
      <c r="A2050" s="148" t="n">
        <v>42300</v>
      </c>
      <c r="B2050" s="37" t="n">
        <v>2169.2666015625</v>
      </c>
    </row>
    <row r="2051" customFormat="false" ht="15" hidden="false" customHeight="false" outlineLevel="0" collapsed="false">
      <c r="A2051" s="148" t="n">
        <v>42303</v>
      </c>
      <c r="B2051" s="37" t="n">
        <v>2159.27001953125</v>
      </c>
    </row>
    <row r="2052" customFormat="false" ht="15" hidden="false" customHeight="false" outlineLevel="0" collapsed="false">
      <c r="A2052" s="148" t="n">
        <v>42304</v>
      </c>
      <c r="B2052" s="37" t="n">
        <v>2153.27221679688</v>
      </c>
    </row>
    <row r="2053" customFormat="false" ht="15" hidden="false" customHeight="false" outlineLevel="0" collapsed="false">
      <c r="A2053" s="148" t="n">
        <v>42305</v>
      </c>
      <c r="B2053" s="37" t="n">
        <v>2161.26928710938</v>
      </c>
    </row>
    <row r="2054" customFormat="false" ht="15" hidden="false" customHeight="false" outlineLevel="0" collapsed="false">
      <c r="A2054" s="148" t="n">
        <v>42306</v>
      </c>
      <c r="B2054" s="37" t="n">
        <v>2159.27001953125</v>
      </c>
    </row>
    <row r="2055" customFormat="false" ht="15" hidden="false" customHeight="false" outlineLevel="0" collapsed="false">
      <c r="A2055" s="148" t="n">
        <v>42307</v>
      </c>
      <c r="B2055" s="37" t="n">
        <v>2158.2705078125</v>
      </c>
    </row>
    <row r="2056" customFormat="false" ht="15" hidden="false" customHeight="false" outlineLevel="0" collapsed="false">
      <c r="A2056" s="148" t="n">
        <v>42310</v>
      </c>
      <c r="B2056" s="37" t="n">
        <v>2149.2734375</v>
      </c>
    </row>
    <row r="2057" customFormat="false" ht="15" hidden="false" customHeight="false" outlineLevel="0" collapsed="false">
      <c r="A2057" s="148" t="n">
        <v>42311</v>
      </c>
      <c r="B2057" s="37" t="n">
        <v>2168.26708984375</v>
      </c>
    </row>
    <row r="2058" customFormat="false" ht="15" hidden="false" customHeight="false" outlineLevel="0" collapsed="false">
      <c r="A2058" s="148" t="n">
        <v>42312</v>
      </c>
      <c r="B2058" s="37" t="n">
        <v>2159.27001953125</v>
      </c>
    </row>
    <row r="2059" customFormat="false" ht="15" hidden="false" customHeight="false" outlineLevel="0" collapsed="false">
      <c r="A2059" s="148" t="n">
        <v>42313</v>
      </c>
      <c r="B2059" s="37" t="n">
        <v>2168.26708984375</v>
      </c>
    </row>
    <row r="2060" customFormat="false" ht="15" hidden="false" customHeight="false" outlineLevel="0" collapsed="false">
      <c r="A2060" s="148" t="n">
        <v>42314</v>
      </c>
      <c r="B2060" s="37" t="n">
        <v>2176.26440429688</v>
      </c>
    </row>
    <row r="2061" customFormat="false" ht="15" hidden="false" customHeight="false" outlineLevel="0" collapsed="false">
      <c r="A2061" s="148" t="n">
        <v>42317</v>
      </c>
      <c r="B2061" s="37" t="n">
        <v>2167.26733398438</v>
      </c>
    </row>
    <row r="2062" customFormat="false" ht="15" hidden="false" customHeight="false" outlineLevel="0" collapsed="false">
      <c r="A2062" s="148" t="n">
        <v>42318</v>
      </c>
      <c r="B2062" s="37" t="n">
        <v>2174.26489257813</v>
      </c>
    </row>
    <row r="2063" customFormat="false" ht="15" hidden="false" customHeight="false" outlineLevel="0" collapsed="false">
      <c r="A2063" s="148" t="n">
        <v>42319</v>
      </c>
      <c r="B2063" s="37" t="n">
        <v>2189.26000976563</v>
      </c>
    </row>
    <row r="2064" customFormat="false" ht="15" hidden="false" customHeight="false" outlineLevel="0" collapsed="false">
      <c r="A2064" s="148" t="n">
        <v>42320</v>
      </c>
      <c r="B2064" s="37" t="n">
        <v>2209.25317382813</v>
      </c>
    </row>
    <row r="2065" customFormat="false" ht="15" hidden="false" customHeight="false" outlineLevel="0" collapsed="false">
      <c r="A2065" s="148" t="n">
        <v>42321</v>
      </c>
      <c r="B2065" s="37" t="n">
        <v>2225.24780273438</v>
      </c>
    </row>
    <row r="2066" customFormat="false" ht="15" hidden="false" customHeight="false" outlineLevel="0" collapsed="false">
      <c r="A2066" s="148" t="n">
        <v>42324</v>
      </c>
      <c r="B2066" s="37" t="n">
        <v>2249.23950195313</v>
      </c>
    </row>
    <row r="2067" customFormat="false" ht="15" hidden="false" customHeight="false" outlineLevel="0" collapsed="false">
      <c r="A2067" s="148" t="n">
        <v>42325</v>
      </c>
      <c r="B2067" s="37" t="n">
        <v>2194.25830078125</v>
      </c>
    </row>
    <row r="2068" customFormat="false" ht="15" hidden="false" customHeight="false" outlineLevel="0" collapsed="false">
      <c r="A2068" s="148" t="n">
        <v>42326</v>
      </c>
      <c r="B2068" s="37" t="n">
        <v>2186.26098632813</v>
      </c>
    </row>
    <row r="2069" customFormat="false" ht="15" hidden="false" customHeight="false" outlineLevel="0" collapsed="false">
      <c r="A2069" s="148" t="n">
        <v>42327</v>
      </c>
      <c r="B2069" s="37" t="n">
        <v>2189.26000976563</v>
      </c>
    </row>
    <row r="2070" customFormat="false" ht="15" hidden="false" customHeight="false" outlineLevel="0" collapsed="false">
      <c r="A2070" s="148" t="n">
        <v>42328</v>
      </c>
      <c r="B2070" s="37" t="n">
        <v>2179.26342773438</v>
      </c>
    </row>
    <row r="2071" customFormat="false" ht="15" hidden="false" customHeight="false" outlineLevel="0" collapsed="false">
      <c r="A2071" s="148" t="n">
        <v>42331</v>
      </c>
      <c r="B2071" s="37" t="n">
        <v>2209.25317382813</v>
      </c>
    </row>
    <row r="2072" customFormat="false" ht="15" hidden="false" customHeight="false" outlineLevel="0" collapsed="false">
      <c r="A2072" s="148" t="n">
        <v>42332</v>
      </c>
      <c r="B2072" s="37" t="n">
        <v>2209.25317382813</v>
      </c>
    </row>
    <row r="2073" customFormat="false" ht="15" hidden="false" customHeight="false" outlineLevel="0" collapsed="false">
      <c r="A2073" s="148" t="n">
        <v>42333</v>
      </c>
      <c r="B2073" s="37" t="n">
        <v>2199.25659179688</v>
      </c>
    </row>
    <row r="2074" customFormat="false" ht="15" hidden="false" customHeight="false" outlineLevel="0" collapsed="false">
      <c r="A2074" s="148" t="n">
        <v>42334</v>
      </c>
      <c r="B2074" s="37" t="n">
        <v>2259.23608398438</v>
      </c>
    </row>
    <row r="2075" customFormat="false" ht="15" hidden="false" customHeight="false" outlineLevel="0" collapsed="false">
      <c r="A2075" s="148" t="n">
        <v>42335</v>
      </c>
      <c r="B2075" s="37" t="n">
        <v>2249.23950195313</v>
      </c>
    </row>
    <row r="2076" customFormat="false" ht="15" hidden="false" customHeight="false" outlineLevel="0" collapsed="false">
      <c r="A2076" s="148" t="n">
        <v>42338</v>
      </c>
      <c r="B2076" s="37" t="n">
        <v>2199.25659179688</v>
      </c>
    </row>
    <row r="2077" customFormat="false" ht="15" hidden="false" customHeight="false" outlineLevel="0" collapsed="false">
      <c r="A2077" s="148" t="n">
        <v>42339</v>
      </c>
      <c r="B2077" s="37" t="n">
        <v>2200.25610351563</v>
      </c>
    </row>
    <row r="2078" customFormat="false" ht="15" hidden="false" customHeight="false" outlineLevel="0" collapsed="false">
      <c r="A2078" s="148" t="n">
        <v>42340</v>
      </c>
      <c r="B2078" s="37" t="n">
        <v>2204.2548828125</v>
      </c>
    </row>
    <row r="2079" customFormat="false" ht="15" hidden="false" customHeight="false" outlineLevel="0" collapsed="false">
      <c r="A2079" s="148" t="n">
        <v>42341</v>
      </c>
      <c r="B2079" s="37" t="n">
        <v>2209.25317382813</v>
      </c>
    </row>
    <row r="2080" customFormat="false" ht="15" hidden="false" customHeight="false" outlineLevel="0" collapsed="false">
      <c r="A2080" s="148" t="n">
        <v>42342</v>
      </c>
      <c r="B2080" s="37" t="n">
        <v>2199.25659179688</v>
      </c>
    </row>
    <row r="2081" customFormat="false" ht="15" hidden="false" customHeight="false" outlineLevel="0" collapsed="false">
      <c r="A2081" s="148" t="n">
        <v>42345</v>
      </c>
      <c r="B2081" s="37" t="n">
        <v>2199.25659179688</v>
      </c>
    </row>
    <row r="2082" customFormat="false" ht="15" hidden="false" customHeight="false" outlineLevel="0" collapsed="false">
      <c r="A2082" s="148" t="n">
        <v>42346</v>
      </c>
      <c r="B2082" s="37" t="n">
        <v>2184.26147460938</v>
      </c>
    </row>
    <row r="2083" customFormat="false" ht="15" hidden="false" customHeight="false" outlineLevel="0" collapsed="false">
      <c r="A2083" s="148" t="n">
        <v>42347</v>
      </c>
      <c r="B2083" s="37" t="n">
        <v>2184.26147460938</v>
      </c>
    </row>
    <row r="2084" customFormat="false" ht="15" hidden="false" customHeight="false" outlineLevel="0" collapsed="false">
      <c r="A2084" s="148" t="n">
        <v>42348</v>
      </c>
      <c r="B2084" s="37" t="n">
        <v>1999.32421875</v>
      </c>
    </row>
    <row r="2085" customFormat="false" ht="15" hidden="false" customHeight="false" outlineLevel="0" collapsed="false">
      <c r="A2085" s="148" t="n">
        <v>42349</v>
      </c>
      <c r="B2085" s="37" t="n">
        <v>1998.32446289063</v>
      </c>
    </row>
    <row r="2086" customFormat="false" ht="15" hidden="false" customHeight="false" outlineLevel="0" collapsed="false">
      <c r="A2086" s="148" t="n">
        <v>42352</v>
      </c>
      <c r="B2086" s="37" t="n">
        <v>1999.32421875</v>
      </c>
    </row>
    <row r="2087" customFormat="false" ht="15" hidden="false" customHeight="false" outlineLevel="0" collapsed="false">
      <c r="A2087" s="148" t="n">
        <v>42353</v>
      </c>
      <c r="B2087" s="37" t="n">
        <v>2019.3173828125</v>
      </c>
    </row>
    <row r="2088" customFormat="false" ht="15" hidden="false" customHeight="false" outlineLevel="0" collapsed="false">
      <c r="A2088" s="148" t="n">
        <v>42354</v>
      </c>
      <c r="B2088" s="37" t="n">
        <v>2019.3173828125</v>
      </c>
    </row>
    <row r="2089" customFormat="false" ht="15" hidden="false" customHeight="false" outlineLevel="0" collapsed="false">
      <c r="A2089" s="148" t="n">
        <v>42355</v>
      </c>
      <c r="B2089" s="37" t="n">
        <v>2039.31066894531</v>
      </c>
    </row>
    <row r="2090" customFormat="false" ht="15" hidden="false" customHeight="false" outlineLevel="0" collapsed="false">
      <c r="A2090" s="148" t="n">
        <v>42356</v>
      </c>
      <c r="B2090" s="37" t="n">
        <v>2099.29028320313</v>
      </c>
    </row>
    <row r="2091" customFormat="false" ht="15" hidden="false" customHeight="false" outlineLevel="0" collapsed="false">
      <c r="A2091" s="148" t="n">
        <v>42359</v>
      </c>
      <c r="B2091" s="37" t="n">
        <v>2121.28295898438</v>
      </c>
    </row>
    <row r="2092" customFormat="false" ht="15" hidden="false" customHeight="false" outlineLevel="0" collapsed="false">
      <c r="A2092" s="148" t="n">
        <v>42360</v>
      </c>
      <c r="B2092" s="37" t="n">
        <v>2150.27319335938</v>
      </c>
    </row>
    <row r="2093" customFormat="false" ht="15" hidden="false" customHeight="false" outlineLevel="0" collapsed="false">
      <c r="A2093" s="148" t="n">
        <v>42361</v>
      </c>
      <c r="B2093" s="37" t="n">
        <v>2102.28930664063</v>
      </c>
    </row>
    <row r="2094" customFormat="false" ht="15" hidden="false" customHeight="false" outlineLevel="0" collapsed="false">
      <c r="A2094" s="148" t="n">
        <v>42362</v>
      </c>
      <c r="B2094" s="37" t="n">
        <v>2172.265625</v>
      </c>
    </row>
    <row r="2095" customFormat="false" ht="15" hidden="false" customHeight="false" outlineLevel="0" collapsed="false">
      <c r="A2095" s="148" t="n">
        <v>42363</v>
      </c>
      <c r="B2095" s="37" t="n">
        <v>2172.265625</v>
      </c>
    </row>
    <row r="2096" customFormat="false" ht="15" hidden="false" customHeight="false" outlineLevel="0" collapsed="false">
      <c r="A2096" s="148" t="n">
        <v>42366</v>
      </c>
      <c r="B2096" s="37" t="n">
        <v>2161.26928710938</v>
      </c>
    </row>
    <row r="2097" customFormat="false" ht="15" hidden="false" customHeight="false" outlineLevel="0" collapsed="false">
      <c r="A2097" s="148" t="n">
        <v>42367</v>
      </c>
      <c r="B2097" s="37" t="n">
        <v>2135.27807617188</v>
      </c>
    </row>
    <row r="2098" customFormat="false" ht="15" hidden="false" customHeight="false" outlineLevel="0" collapsed="false">
      <c r="A2098" s="148" t="n">
        <v>42368</v>
      </c>
      <c r="B2098" s="37" t="n">
        <v>2189.26000976563</v>
      </c>
    </row>
    <row r="2099" customFormat="false" ht="15" hidden="false" customHeight="false" outlineLevel="0" collapsed="false">
      <c r="A2099" s="148" t="n">
        <v>42369</v>
      </c>
      <c r="B2099" s="37" t="n">
        <v>2199.25659179688</v>
      </c>
    </row>
    <row r="2100" customFormat="false" ht="15" hidden="false" customHeight="false" outlineLevel="0" collapsed="false">
      <c r="A2100" s="148" t="n">
        <v>42370</v>
      </c>
      <c r="B2100" s="37" t="n">
        <v>2199.25659179688</v>
      </c>
    </row>
    <row r="2101" customFormat="false" ht="15" hidden="false" customHeight="false" outlineLevel="0" collapsed="false">
      <c r="A2101" s="148" t="n">
        <v>42373</v>
      </c>
      <c r="B2101" s="37" t="n">
        <v>2148.27368164063</v>
      </c>
    </row>
    <row r="2102" customFormat="false" ht="15" hidden="false" customHeight="false" outlineLevel="0" collapsed="false">
      <c r="A2102" s="148" t="n">
        <v>42374</v>
      </c>
      <c r="B2102" s="37" t="n">
        <v>2199.25659179688</v>
      </c>
    </row>
    <row r="2103" customFormat="false" ht="15" hidden="false" customHeight="false" outlineLevel="0" collapsed="false">
      <c r="A2103" s="148" t="n">
        <v>42375</v>
      </c>
      <c r="B2103" s="37" t="n">
        <v>2087.29443359375</v>
      </c>
    </row>
    <row r="2104" customFormat="false" ht="15" hidden="false" customHeight="false" outlineLevel="0" collapsed="false">
      <c r="A2104" s="148" t="n">
        <v>42376</v>
      </c>
      <c r="B2104" s="37" t="n">
        <v>1999.32421875</v>
      </c>
    </row>
    <row r="2105" customFormat="false" ht="15" hidden="false" customHeight="false" outlineLevel="0" collapsed="false">
      <c r="A2105" s="148" t="n">
        <v>42377</v>
      </c>
      <c r="B2105" s="37" t="n">
        <v>2030.31372070313</v>
      </c>
    </row>
    <row r="2106" customFormat="false" ht="15" hidden="false" customHeight="false" outlineLevel="0" collapsed="false">
      <c r="A2106" s="148" t="n">
        <v>42380</v>
      </c>
      <c r="B2106" s="37" t="n">
        <v>1999.32421875</v>
      </c>
    </row>
    <row r="2107" customFormat="false" ht="15" hidden="false" customHeight="false" outlineLevel="0" collapsed="false">
      <c r="A2107" s="148" t="n">
        <v>42381</v>
      </c>
      <c r="B2107" s="37" t="n">
        <v>1999.32421875</v>
      </c>
    </row>
    <row r="2108" customFormat="false" ht="15" hidden="false" customHeight="false" outlineLevel="0" collapsed="false">
      <c r="A2108" s="148" t="n">
        <v>42382</v>
      </c>
      <c r="B2108" s="37" t="n">
        <v>1974.33251953125</v>
      </c>
    </row>
    <row r="2109" customFormat="false" ht="15" hidden="false" customHeight="false" outlineLevel="0" collapsed="false">
      <c r="A2109" s="148" t="n">
        <v>42383</v>
      </c>
      <c r="B2109" s="37" t="n">
        <v>1899.35791015625</v>
      </c>
    </row>
    <row r="2110" customFormat="false" ht="15" hidden="false" customHeight="false" outlineLevel="0" collapsed="false">
      <c r="A2110" s="148" t="n">
        <v>42384</v>
      </c>
      <c r="B2110" s="37" t="n">
        <v>1899.35791015625</v>
      </c>
    </row>
    <row r="2111" customFormat="false" ht="15" hidden="false" customHeight="false" outlineLevel="0" collapsed="false">
      <c r="A2111" s="148" t="n">
        <v>42387</v>
      </c>
      <c r="B2111" s="37" t="n">
        <v>1889.361328125</v>
      </c>
    </row>
    <row r="2112" customFormat="false" ht="15" hidden="false" customHeight="false" outlineLevel="0" collapsed="false">
      <c r="A2112" s="148" t="n">
        <v>42388</v>
      </c>
      <c r="B2112" s="37" t="n">
        <v>1773.40051269531</v>
      </c>
    </row>
    <row r="2113" customFormat="false" ht="15" hidden="false" customHeight="false" outlineLevel="0" collapsed="false">
      <c r="A2113" s="148" t="n">
        <v>42389</v>
      </c>
      <c r="B2113" s="37" t="n">
        <v>1675.43359375</v>
      </c>
    </row>
    <row r="2114" customFormat="false" ht="15" hidden="false" customHeight="false" outlineLevel="0" collapsed="false">
      <c r="A2114" s="148" t="n">
        <v>42390</v>
      </c>
      <c r="B2114" s="37" t="n">
        <v>1739.41198730469</v>
      </c>
    </row>
    <row r="2115" customFormat="false" ht="15" hidden="false" customHeight="false" outlineLevel="0" collapsed="false">
      <c r="A2115" s="148" t="n">
        <v>42391</v>
      </c>
      <c r="B2115" s="37" t="n">
        <v>1733.4140625</v>
      </c>
    </row>
    <row r="2116" customFormat="false" ht="15" hidden="false" customHeight="false" outlineLevel="0" collapsed="false">
      <c r="A2116" s="148" t="n">
        <v>42394</v>
      </c>
      <c r="B2116" s="37" t="n">
        <v>1749.40856933594</v>
      </c>
    </row>
    <row r="2117" customFormat="false" ht="15" hidden="false" customHeight="false" outlineLevel="0" collapsed="false">
      <c r="A2117" s="148" t="n">
        <v>42395</v>
      </c>
      <c r="B2117" s="37" t="n">
        <v>1772.40075683594</v>
      </c>
    </row>
    <row r="2118" customFormat="false" ht="15" hidden="false" customHeight="false" outlineLevel="0" collapsed="false">
      <c r="A2118" s="148" t="n">
        <v>42396</v>
      </c>
      <c r="B2118" s="37" t="n">
        <v>1798.39196777344</v>
      </c>
    </row>
    <row r="2119" customFormat="false" ht="15" hidden="false" customHeight="false" outlineLevel="0" collapsed="false">
      <c r="A2119" s="148" t="n">
        <v>42397</v>
      </c>
      <c r="B2119" s="37" t="n">
        <v>1815.38635253906</v>
      </c>
    </row>
    <row r="2120" customFormat="false" ht="15" hidden="false" customHeight="false" outlineLevel="0" collapsed="false">
      <c r="A2120" s="148" t="n">
        <v>42398</v>
      </c>
      <c r="B2120" s="37" t="n">
        <v>1799.39172363281</v>
      </c>
    </row>
    <row r="2121" customFormat="false" ht="15" hidden="false" customHeight="false" outlineLevel="0" collapsed="false">
      <c r="A2121" s="148" t="n">
        <v>42401</v>
      </c>
      <c r="B2121" s="37" t="n">
        <v>1814.38659667969</v>
      </c>
    </row>
    <row r="2122" customFormat="false" ht="15" hidden="false" customHeight="false" outlineLevel="0" collapsed="false">
      <c r="A2122" s="148" t="n">
        <v>42402</v>
      </c>
      <c r="B2122" s="37" t="n">
        <v>1815.38635253906</v>
      </c>
    </row>
    <row r="2123" customFormat="false" ht="15" hidden="false" customHeight="false" outlineLevel="0" collapsed="false">
      <c r="A2123" s="148" t="n">
        <v>42403</v>
      </c>
      <c r="B2123" s="37" t="n">
        <v>1834.3798828125</v>
      </c>
    </row>
    <row r="2124" customFormat="false" ht="15" hidden="false" customHeight="false" outlineLevel="0" collapsed="false">
      <c r="A2124" s="148" t="n">
        <v>42404</v>
      </c>
      <c r="B2124" s="37" t="n">
        <v>1884.36303710938</v>
      </c>
    </row>
    <row r="2125" customFormat="false" ht="15" hidden="false" customHeight="false" outlineLevel="0" collapsed="false">
      <c r="A2125" s="148" t="n">
        <v>42405</v>
      </c>
      <c r="B2125" s="37" t="n">
        <v>1898.35827636719</v>
      </c>
    </row>
    <row r="2126" customFormat="false" ht="15" hidden="false" customHeight="false" outlineLevel="0" collapsed="false">
      <c r="A2126" s="148" t="n">
        <v>42408</v>
      </c>
      <c r="B2126" s="37" t="n">
        <v>1889.361328125</v>
      </c>
    </row>
    <row r="2127" customFormat="false" ht="15" hidden="false" customHeight="false" outlineLevel="0" collapsed="false">
      <c r="A2127" s="148" t="n">
        <v>42409</v>
      </c>
      <c r="B2127" s="37" t="n">
        <v>1878.36499023438</v>
      </c>
    </row>
    <row r="2128" customFormat="false" ht="15" hidden="false" customHeight="false" outlineLevel="0" collapsed="false">
      <c r="A2128" s="148" t="n">
        <v>42410</v>
      </c>
      <c r="B2128" s="37" t="n">
        <v>1800.39147949219</v>
      </c>
    </row>
    <row r="2129" customFormat="false" ht="15" hidden="false" customHeight="false" outlineLevel="0" collapsed="false">
      <c r="A2129" s="148" t="n">
        <v>42411</v>
      </c>
      <c r="B2129" s="37" t="n">
        <v>1804.39001464844</v>
      </c>
    </row>
    <row r="2130" customFormat="false" ht="15" hidden="false" customHeight="false" outlineLevel="0" collapsed="false">
      <c r="A2130" s="148" t="n">
        <v>42412</v>
      </c>
      <c r="B2130" s="37" t="n">
        <v>1799.39172363281</v>
      </c>
    </row>
    <row r="2131" customFormat="false" ht="15" hidden="false" customHeight="false" outlineLevel="0" collapsed="false">
      <c r="A2131" s="148" t="n">
        <v>42415</v>
      </c>
      <c r="B2131" s="37" t="n">
        <v>1801.39099121094</v>
      </c>
    </row>
    <row r="2132" customFormat="false" ht="15" hidden="false" customHeight="false" outlineLevel="0" collapsed="false">
      <c r="A2132" s="148" t="n">
        <v>42416</v>
      </c>
      <c r="B2132" s="37" t="n">
        <v>1949.34106445313</v>
      </c>
    </row>
    <row r="2133" customFormat="false" ht="15" hidden="false" customHeight="false" outlineLevel="0" collapsed="false">
      <c r="A2133" s="148" t="n">
        <v>42417</v>
      </c>
      <c r="B2133" s="37" t="n">
        <v>1812.38732910156</v>
      </c>
    </row>
    <row r="2134" customFormat="false" ht="15" hidden="false" customHeight="false" outlineLevel="0" collapsed="false">
      <c r="A2134" s="148" t="n">
        <v>42418</v>
      </c>
      <c r="B2134" s="37" t="n">
        <v>1812.38732910156</v>
      </c>
    </row>
    <row r="2135" customFormat="false" ht="15" hidden="false" customHeight="false" outlineLevel="0" collapsed="false">
      <c r="A2135" s="148" t="n">
        <v>42419</v>
      </c>
      <c r="B2135" s="37" t="n">
        <v>1819.38488769531</v>
      </c>
    </row>
    <row r="2136" customFormat="false" ht="15" hidden="false" customHeight="false" outlineLevel="0" collapsed="false">
      <c r="A2136" s="148" t="n">
        <v>42422</v>
      </c>
      <c r="B2136" s="37" t="n">
        <v>1846.37585449219</v>
      </c>
    </row>
    <row r="2137" customFormat="false" ht="15" hidden="false" customHeight="false" outlineLevel="0" collapsed="false">
      <c r="A2137" s="148" t="n">
        <v>42423</v>
      </c>
      <c r="B2137" s="37" t="n">
        <v>1851.37414550781</v>
      </c>
    </row>
    <row r="2138" customFormat="false" ht="15" hidden="false" customHeight="false" outlineLevel="0" collapsed="false">
      <c r="A2138" s="148" t="n">
        <v>42424</v>
      </c>
      <c r="B2138" s="37" t="n">
        <v>1839.37829589844</v>
      </c>
    </row>
    <row r="2139" customFormat="false" ht="15" hidden="false" customHeight="false" outlineLevel="0" collapsed="false">
      <c r="A2139" s="148" t="n">
        <v>42425</v>
      </c>
      <c r="B2139" s="37" t="n">
        <v>1809.38830566406</v>
      </c>
    </row>
    <row r="2140" customFormat="false" ht="15" hidden="false" customHeight="false" outlineLevel="0" collapsed="false">
      <c r="A2140" s="148" t="n">
        <v>42426</v>
      </c>
      <c r="B2140" s="37" t="n">
        <v>1810.38806152344</v>
      </c>
    </row>
    <row r="2141" customFormat="false" ht="15" hidden="false" customHeight="false" outlineLevel="0" collapsed="false">
      <c r="A2141" s="148" t="n">
        <v>42429</v>
      </c>
      <c r="B2141" s="37" t="n">
        <v>1819.38488769531</v>
      </c>
    </row>
    <row r="2142" customFormat="false" ht="15" hidden="false" customHeight="false" outlineLevel="0" collapsed="false">
      <c r="A2142" s="148" t="n">
        <v>42430</v>
      </c>
      <c r="B2142" s="37" t="n">
        <v>1816.38598632813</v>
      </c>
    </row>
    <row r="2143" customFormat="false" ht="15" hidden="false" customHeight="false" outlineLevel="0" collapsed="false">
      <c r="A2143" s="148" t="n">
        <v>42431</v>
      </c>
      <c r="B2143" s="37" t="n">
        <v>1834.3798828125</v>
      </c>
    </row>
    <row r="2144" customFormat="false" ht="15" hidden="false" customHeight="false" outlineLevel="0" collapsed="false">
      <c r="A2144" s="148" t="n">
        <v>42432</v>
      </c>
      <c r="B2144" s="37" t="n">
        <v>1818.38537597656</v>
      </c>
    </row>
    <row r="2145" customFormat="false" ht="15" hidden="false" customHeight="false" outlineLevel="0" collapsed="false">
      <c r="A2145" s="148" t="n">
        <v>42433</v>
      </c>
      <c r="B2145" s="37" t="n">
        <v>1819.38488769531</v>
      </c>
    </row>
    <row r="2146" customFormat="false" ht="15" hidden="false" customHeight="false" outlineLevel="0" collapsed="false">
      <c r="A2146" s="148" t="n">
        <v>42436</v>
      </c>
      <c r="B2146" s="37" t="n">
        <v>1819.38488769531</v>
      </c>
    </row>
    <row r="2147" customFormat="false" ht="15" hidden="false" customHeight="false" outlineLevel="0" collapsed="false">
      <c r="A2147" s="148" t="n">
        <v>42437</v>
      </c>
      <c r="B2147" s="37" t="n">
        <v>1809.38830566406</v>
      </c>
    </row>
    <row r="2148" customFormat="false" ht="15" hidden="false" customHeight="false" outlineLevel="0" collapsed="false">
      <c r="A2148" s="148" t="n">
        <v>42438</v>
      </c>
      <c r="B2148" s="37" t="n">
        <v>1834.3798828125</v>
      </c>
    </row>
    <row r="2149" customFormat="false" ht="15" hidden="false" customHeight="false" outlineLevel="0" collapsed="false">
      <c r="A2149" s="148" t="n">
        <v>42439</v>
      </c>
      <c r="B2149" s="37" t="n">
        <v>1809.38830566406</v>
      </c>
    </row>
    <row r="2150" customFormat="false" ht="15" hidden="false" customHeight="false" outlineLevel="0" collapsed="false">
      <c r="A2150" s="148" t="n">
        <v>42440</v>
      </c>
      <c r="B2150" s="37" t="n">
        <v>1819.38488769531</v>
      </c>
    </row>
    <row r="2151" customFormat="false" ht="15" hidden="false" customHeight="false" outlineLevel="0" collapsed="false">
      <c r="A2151" s="148" t="n">
        <v>42443</v>
      </c>
      <c r="B2151" s="37" t="n">
        <v>1814.38659667969</v>
      </c>
    </row>
    <row r="2152" customFormat="false" ht="15" hidden="false" customHeight="false" outlineLevel="0" collapsed="false">
      <c r="A2152" s="148" t="n">
        <v>42444</v>
      </c>
      <c r="B2152" s="37" t="n">
        <v>1814.38659667969</v>
      </c>
    </row>
    <row r="2153" customFormat="false" ht="15" hidden="false" customHeight="false" outlineLevel="0" collapsed="false">
      <c r="A2153" s="148" t="n">
        <v>42445</v>
      </c>
      <c r="B2153" s="37" t="n">
        <v>1814.38659667969</v>
      </c>
    </row>
    <row r="2154" customFormat="false" ht="15" hidden="false" customHeight="false" outlineLevel="0" collapsed="false">
      <c r="A2154" s="148" t="n">
        <v>42446</v>
      </c>
      <c r="B2154" s="37" t="n">
        <v>1815.38635253906</v>
      </c>
    </row>
    <row r="2155" customFormat="false" ht="15" hidden="false" customHeight="false" outlineLevel="0" collapsed="false">
      <c r="A2155" s="148" t="n">
        <v>42447</v>
      </c>
      <c r="B2155" s="37" t="n">
        <v>1847.37548828125</v>
      </c>
    </row>
    <row r="2156" customFormat="false" ht="15" hidden="false" customHeight="false" outlineLevel="0" collapsed="false">
      <c r="A2156" s="148" t="n">
        <v>42450</v>
      </c>
      <c r="B2156" s="37" t="n">
        <v>1847.37548828125</v>
      </c>
    </row>
    <row r="2157" customFormat="false" ht="15" hidden="false" customHeight="false" outlineLevel="0" collapsed="false">
      <c r="A2157" s="148" t="n">
        <v>42451</v>
      </c>
      <c r="B2157" s="37" t="n">
        <v>1859.37145996094</v>
      </c>
    </row>
    <row r="2158" customFormat="false" ht="15" hidden="false" customHeight="false" outlineLevel="0" collapsed="false">
      <c r="A2158" s="148" t="n">
        <v>42452</v>
      </c>
      <c r="B2158" s="37" t="n">
        <v>1817.38562011719</v>
      </c>
    </row>
    <row r="2159" customFormat="false" ht="15" hidden="false" customHeight="false" outlineLevel="0" collapsed="false">
      <c r="A2159" s="148" t="n">
        <v>42453</v>
      </c>
      <c r="B2159" s="37" t="n">
        <v>1817.38562011719</v>
      </c>
    </row>
    <row r="2160" customFormat="false" ht="15" hidden="false" customHeight="false" outlineLevel="0" collapsed="false">
      <c r="A2160" s="148" t="n">
        <v>42454</v>
      </c>
      <c r="B2160" s="37" t="n">
        <v>1817.38562011719</v>
      </c>
    </row>
    <row r="2161" customFormat="false" ht="15" hidden="false" customHeight="false" outlineLevel="0" collapsed="false">
      <c r="A2161" s="148" t="n">
        <v>42457</v>
      </c>
      <c r="B2161" s="37" t="n">
        <v>1817.38562011719</v>
      </c>
    </row>
    <row r="2162" customFormat="false" ht="15" hidden="false" customHeight="false" outlineLevel="0" collapsed="false">
      <c r="A2162" s="148" t="n">
        <v>42458</v>
      </c>
      <c r="B2162" s="37" t="n">
        <v>1830.38122558594</v>
      </c>
    </row>
    <row r="2163" customFormat="false" ht="15" hidden="false" customHeight="false" outlineLevel="0" collapsed="false">
      <c r="A2163" s="148" t="n">
        <v>42459</v>
      </c>
      <c r="B2163" s="37" t="n">
        <v>1889.361328125</v>
      </c>
    </row>
    <row r="2164" customFormat="false" ht="15" hidden="false" customHeight="false" outlineLevel="0" collapsed="false">
      <c r="A2164" s="148" t="n">
        <v>42460</v>
      </c>
      <c r="B2164" s="37" t="n">
        <v>1939.34448242188</v>
      </c>
    </row>
    <row r="2165" customFormat="false" ht="15" hidden="false" customHeight="false" outlineLevel="0" collapsed="false">
      <c r="A2165" s="148" t="n">
        <v>42461</v>
      </c>
      <c r="B2165" s="37" t="n">
        <v>1949.34106445313</v>
      </c>
    </row>
    <row r="2166" customFormat="false" ht="15" hidden="false" customHeight="false" outlineLevel="0" collapsed="false">
      <c r="A2166" s="148" t="n">
        <v>42464</v>
      </c>
      <c r="B2166" s="37" t="n">
        <v>1855.37280273438</v>
      </c>
    </row>
    <row r="2167" customFormat="false" ht="15" hidden="false" customHeight="false" outlineLevel="0" collapsed="false">
      <c r="A2167" s="148" t="n">
        <v>42465</v>
      </c>
      <c r="B2167" s="37" t="n">
        <v>1944.3427734375</v>
      </c>
    </row>
    <row r="2168" customFormat="false" ht="15" hidden="false" customHeight="false" outlineLevel="0" collapsed="false">
      <c r="A2168" s="148" t="n">
        <v>42466</v>
      </c>
      <c r="B2168" s="37" t="n">
        <v>1939.34448242188</v>
      </c>
    </row>
    <row r="2169" customFormat="false" ht="15" hidden="false" customHeight="false" outlineLevel="0" collapsed="false">
      <c r="A2169" s="148" t="n">
        <v>42467</v>
      </c>
      <c r="B2169" s="37" t="n">
        <v>1885.36267089844</v>
      </c>
    </row>
    <row r="2170" customFormat="false" ht="15" hidden="false" customHeight="false" outlineLevel="0" collapsed="false">
      <c r="A2170" s="148" t="n">
        <v>42468</v>
      </c>
      <c r="B2170" s="37" t="n">
        <v>1899.35791015625</v>
      </c>
    </row>
    <row r="2171" customFormat="false" ht="15" hidden="false" customHeight="false" outlineLevel="0" collapsed="false">
      <c r="A2171" s="148" t="n">
        <v>42471</v>
      </c>
      <c r="B2171" s="37" t="n">
        <v>1805.38977050781</v>
      </c>
    </row>
    <row r="2172" customFormat="false" ht="15" hidden="false" customHeight="false" outlineLevel="0" collapsed="false">
      <c r="A2172" s="148" t="n">
        <v>42472</v>
      </c>
      <c r="B2172" s="37" t="n">
        <v>1894.35961914063</v>
      </c>
    </row>
    <row r="2173" customFormat="false" ht="15" hidden="false" customHeight="false" outlineLevel="0" collapsed="false">
      <c r="A2173" s="148" t="n">
        <v>42473</v>
      </c>
      <c r="B2173" s="37" t="n">
        <v>1850.37451171875</v>
      </c>
    </row>
    <row r="2174" customFormat="false" ht="15" hidden="false" customHeight="false" outlineLevel="0" collapsed="false">
      <c r="A2174" s="148" t="n">
        <v>42474</v>
      </c>
      <c r="B2174" s="37" t="n">
        <v>1838.37854003906</v>
      </c>
    </row>
    <row r="2175" customFormat="false" ht="15" hidden="false" customHeight="false" outlineLevel="0" collapsed="false">
      <c r="A2175" s="148" t="n">
        <v>42475</v>
      </c>
      <c r="B2175" s="37" t="n">
        <v>1869.36804199219</v>
      </c>
    </row>
    <row r="2176" customFormat="false" ht="15" hidden="false" customHeight="false" outlineLevel="0" collapsed="false">
      <c r="A2176" s="148" t="n">
        <v>42478</v>
      </c>
      <c r="B2176" s="37" t="n">
        <v>1848.37512207031</v>
      </c>
    </row>
    <row r="2177" customFormat="false" ht="15" hidden="false" customHeight="false" outlineLevel="0" collapsed="false">
      <c r="A2177" s="148" t="n">
        <v>42479</v>
      </c>
      <c r="B2177" s="37" t="n">
        <v>1948.34130859375</v>
      </c>
    </row>
    <row r="2178" customFormat="false" ht="15" hidden="false" customHeight="false" outlineLevel="0" collapsed="false">
      <c r="A2178" s="148" t="n">
        <v>42480</v>
      </c>
      <c r="B2178" s="37" t="n">
        <v>1949.34106445313</v>
      </c>
    </row>
    <row r="2179" customFormat="false" ht="15" hidden="false" customHeight="false" outlineLevel="0" collapsed="false">
      <c r="A2179" s="148" t="n">
        <v>42481</v>
      </c>
      <c r="B2179" s="37" t="n">
        <v>1949.34106445313</v>
      </c>
    </row>
    <row r="2180" customFormat="false" ht="15" hidden="false" customHeight="false" outlineLevel="0" collapsed="false">
      <c r="A2180" s="148" t="n">
        <v>42482</v>
      </c>
      <c r="B2180" s="37" t="n">
        <v>1899.35791015625</v>
      </c>
    </row>
    <row r="2181" customFormat="false" ht="15" hidden="false" customHeight="false" outlineLevel="0" collapsed="false">
      <c r="A2181" s="148" t="n">
        <v>42485</v>
      </c>
      <c r="B2181" s="37" t="n">
        <v>1851.37414550781</v>
      </c>
    </row>
    <row r="2182" customFormat="false" ht="15" hidden="false" customHeight="false" outlineLevel="0" collapsed="false">
      <c r="A2182" s="148" t="n">
        <v>42486</v>
      </c>
      <c r="B2182" s="37" t="n">
        <v>1999.32421875</v>
      </c>
    </row>
    <row r="2183" customFormat="false" ht="15" hidden="false" customHeight="false" outlineLevel="0" collapsed="false">
      <c r="A2183" s="148" t="n">
        <v>42487</v>
      </c>
      <c r="B2183" s="37" t="n">
        <v>1999.32421875</v>
      </c>
    </row>
    <row r="2184" customFormat="false" ht="15" hidden="false" customHeight="false" outlineLevel="0" collapsed="false">
      <c r="A2184" s="148" t="n">
        <v>42488</v>
      </c>
      <c r="B2184" s="37" t="n">
        <v>1969.33422851563</v>
      </c>
    </row>
    <row r="2185" customFormat="false" ht="15" hidden="false" customHeight="false" outlineLevel="0" collapsed="false">
      <c r="A2185" s="148" t="n">
        <v>42489</v>
      </c>
      <c r="B2185" s="37" t="n">
        <v>2049.30712890625</v>
      </c>
    </row>
    <row r="2186" customFormat="false" ht="15" hidden="false" customHeight="false" outlineLevel="0" collapsed="false">
      <c r="A2186" s="148" t="n">
        <v>42492</v>
      </c>
      <c r="B2186" s="37" t="n">
        <v>2049.30712890625</v>
      </c>
    </row>
    <row r="2187" customFormat="false" ht="15" hidden="false" customHeight="false" outlineLevel="0" collapsed="false">
      <c r="A2187" s="148" t="n">
        <v>42493</v>
      </c>
      <c r="B2187" s="37" t="n">
        <v>1999.32421875</v>
      </c>
    </row>
    <row r="2188" customFormat="false" ht="15" hidden="false" customHeight="false" outlineLevel="0" collapsed="false">
      <c r="A2188" s="148" t="n">
        <v>42494</v>
      </c>
      <c r="B2188" s="37" t="n">
        <v>2005.32202148438</v>
      </c>
    </row>
    <row r="2189" customFormat="false" ht="15" hidden="false" customHeight="false" outlineLevel="0" collapsed="false">
      <c r="A2189" s="148" t="n">
        <v>42495</v>
      </c>
      <c r="B2189" s="37" t="n">
        <v>1999.32421875</v>
      </c>
    </row>
    <row r="2190" customFormat="false" ht="15" hidden="false" customHeight="false" outlineLevel="0" collapsed="false">
      <c r="A2190" s="148" t="n">
        <v>42496</v>
      </c>
      <c r="B2190" s="37" t="n">
        <v>2029.31396484375</v>
      </c>
    </row>
    <row r="2191" customFormat="false" ht="15" hidden="false" customHeight="false" outlineLevel="0" collapsed="false">
      <c r="A2191" s="148" t="n">
        <v>42499</v>
      </c>
      <c r="B2191" s="37" t="n">
        <v>2074.298828125</v>
      </c>
    </row>
    <row r="2192" customFormat="false" ht="15" hidden="false" customHeight="false" outlineLevel="0" collapsed="false">
      <c r="A2192" s="148" t="n">
        <v>42500</v>
      </c>
      <c r="B2192" s="37" t="n">
        <v>2054.3056640625</v>
      </c>
    </row>
    <row r="2193" customFormat="false" ht="15" hidden="false" customHeight="false" outlineLevel="0" collapsed="false">
      <c r="A2193" s="148" t="n">
        <v>42501</v>
      </c>
      <c r="B2193" s="37" t="n">
        <v>2100.2900390625</v>
      </c>
    </row>
    <row r="2194" customFormat="false" ht="15" hidden="false" customHeight="false" outlineLevel="0" collapsed="false">
      <c r="A2194" s="148" t="n">
        <v>42502</v>
      </c>
      <c r="B2194" s="37" t="n">
        <v>2237.24389648438</v>
      </c>
    </row>
    <row r="2195" customFormat="false" ht="15" hidden="false" customHeight="false" outlineLevel="0" collapsed="false">
      <c r="A2195" s="148" t="n">
        <v>42503</v>
      </c>
      <c r="B2195" s="37" t="n">
        <v>2249.23950195313</v>
      </c>
    </row>
    <row r="2196" customFormat="false" ht="15" hidden="false" customHeight="false" outlineLevel="0" collapsed="false">
      <c r="A2196" s="148" t="n">
        <v>42506</v>
      </c>
      <c r="B2196" s="37" t="n">
        <v>2299.22290039063</v>
      </c>
    </row>
    <row r="2197" customFormat="false" ht="15" hidden="false" customHeight="false" outlineLevel="0" collapsed="false">
      <c r="A2197" s="148" t="n">
        <v>42507</v>
      </c>
      <c r="B2197" s="37" t="n">
        <v>2139.27685546875</v>
      </c>
    </row>
    <row r="2198" customFormat="false" ht="15" hidden="false" customHeight="false" outlineLevel="0" collapsed="false">
      <c r="A2198" s="148" t="n">
        <v>42508</v>
      </c>
      <c r="B2198" s="37" t="n">
        <v>2159.27001953125</v>
      </c>
    </row>
    <row r="2199" customFormat="false" ht="15" hidden="false" customHeight="false" outlineLevel="0" collapsed="false">
      <c r="A2199" s="148" t="n">
        <v>42509</v>
      </c>
      <c r="B2199" s="37" t="n">
        <v>2149.2734375</v>
      </c>
    </row>
    <row r="2200" customFormat="false" ht="15" hidden="false" customHeight="false" outlineLevel="0" collapsed="false">
      <c r="A2200" s="148" t="n">
        <v>42510</v>
      </c>
      <c r="B2200" s="37" t="n">
        <v>2199.25659179688</v>
      </c>
    </row>
    <row r="2201" customFormat="false" ht="15" hidden="false" customHeight="false" outlineLevel="0" collapsed="false">
      <c r="A2201" s="148" t="n">
        <v>42513</v>
      </c>
      <c r="B2201" s="37" t="n">
        <v>2150.27319335938</v>
      </c>
    </row>
    <row r="2202" customFormat="false" ht="15" hidden="false" customHeight="false" outlineLevel="0" collapsed="false">
      <c r="A2202" s="148" t="n">
        <v>42514</v>
      </c>
      <c r="B2202" s="37" t="n">
        <v>2129.2802734375</v>
      </c>
    </row>
    <row r="2203" customFormat="false" ht="15" hidden="false" customHeight="false" outlineLevel="0" collapsed="false">
      <c r="A2203" s="148" t="n">
        <v>42515</v>
      </c>
      <c r="B2203" s="37" t="n">
        <v>2152.2724609375</v>
      </c>
    </row>
    <row r="2204" customFormat="false" ht="15" hidden="false" customHeight="false" outlineLevel="0" collapsed="false">
      <c r="A2204" s="148" t="n">
        <v>42516</v>
      </c>
      <c r="B2204" s="37" t="n">
        <v>2287.22680664063</v>
      </c>
    </row>
    <row r="2205" customFormat="false" ht="15" hidden="false" customHeight="false" outlineLevel="0" collapsed="false">
      <c r="A2205" s="148" t="n">
        <v>42517</v>
      </c>
      <c r="B2205" s="37" t="n">
        <v>2276.23071289063</v>
      </c>
    </row>
    <row r="2206" customFormat="false" ht="15" hidden="false" customHeight="false" outlineLevel="0" collapsed="false">
      <c r="A2206" s="148" t="n">
        <v>42520</v>
      </c>
      <c r="B2206" s="37" t="n">
        <v>2217.25048828125</v>
      </c>
    </row>
    <row r="2207" customFormat="false" ht="15" hidden="false" customHeight="false" outlineLevel="0" collapsed="false">
      <c r="A2207" s="148" t="n">
        <v>42521</v>
      </c>
      <c r="B2207" s="37" t="n">
        <v>2249.23950195313</v>
      </c>
    </row>
    <row r="2208" customFormat="false" ht="15" hidden="false" customHeight="false" outlineLevel="0" collapsed="false">
      <c r="A2208" s="148" t="n">
        <v>42522</v>
      </c>
      <c r="B2208" s="37" t="n">
        <v>2140.27661132813</v>
      </c>
    </row>
    <row r="2209" customFormat="false" ht="15" hidden="false" customHeight="false" outlineLevel="0" collapsed="false">
      <c r="A2209" s="148" t="n">
        <v>42523</v>
      </c>
      <c r="B2209" s="37" t="n">
        <v>2199.25659179688</v>
      </c>
    </row>
    <row r="2210" customFormat="false" ht="15" hidden="false" customHeight="false" outlineLevel="0" collapsed="false">
      <c r="A2210" s="148" t="n">
        <v>42524</v>
      </c>
      <c r="B2210" s="37" t="n">
        <v>2198.2568359375</v>
      </c>
    </row>
    <row r="2211" customFormat="false" ht="15" hidden="false" customHeight="false" outlineLevel="0" collapsed="false">
      <c r="A2211" s="148" t="n">
        <v>42527</v>
      </c>
      <c r="B2211" s="37" t="n">
        <v>2199.25659179688</v>
      </c>
    </row>
    <row r="2212" customFormat="false" ht="15" hidden="false" customHeight="false" outlineLevel="0" collapsed="false">
      <c r="A2212" s="148" t="n">
        <v>42528</v>
      </c>
      <c r="B2212" s="37" t="n">
        <v>2134.27856445313</v>
      </c>
    </row>
    <row r="2213" customFormat="false" ht="15" hidden="false" customHeight="false" outlineLevel="0" collapsed="false">
      <c r="A2213" s="148" t="n">
        <v>42529</v>
      </c>
      <c r="B2213" s="37" t="n">
        <v>2001.32348632813</v>
      </c>
    </row>
    <row r="2214" customFormat="false" ht="15" hidden="false" customHeight="false" outlineLevel="0" collapsed="false">
      <c r="A2214" s="148" t="n">
        <v>42530</v>
      </c>
      <c r="B2214" s="37" t="n">
        <v>2044.30895996094</v>
      </c>
    </row>
    <row r="2215" customFormat="false" ht="15" hidden="false" customHeight="false" outlineLevel="0" collapsed="false">
      <c r="A2215" s="148" t="n">
        <v>42531</v>
      </c>
      <c r="B2215" s="37" t="n">
        <v>2044.30895996094</v>
      </c>
    </row>
    <row r="2216" customFormat="false" ht="15" hidden="false" customHeight="false" outlineLevel="0" collapsed="false">
      <c r="A2216" s="148" t="n">
        <v>42534</v>
      </c>
      <c r="B2216" s="37" t="n">
        <v>2149.2734375</v>
      </c>
    </row>
    <row r="2217" customFormat="false" ht="15" hidden="false" customHeight="false" outlineLevel="0" collapsed="false">
      <c r="A2217" s="148" t="n">
        <v>42535</v>
      </c>
      <c r="B2217" s="37" t="n">
        <v>2147.27416992188</v>
      </c>
    </row>
    <row r="2218" customFormat="false" ht="15" hidden="false" customHeight="false" outlineLevel="0" collapsed="false">
      <c r="A2218" s="148" t="n">
        <v>42536</v>
      </c>
      <c r="B2218" s="37" t="n">
        <v>2138.27709960938</v>
      </c>
    </row>
    <row r="2219" customFormat="false" ht="15" hidden="false" customHeight="false" outlineLevel="0" collapsed="false">
      <c r="A2219" s="148" t="n">
        <v>42537</v>
      </c>
      <c r="B2219" s="37" t="n">
        <v>2138.27709960938</v>
      </c>
    </row>
    <row r="2220" customFormat="false" ht="15" hidden="false" customHeight="false" outlineLevel="0" collapsed="false">
      <c r="A2220" s="148" t="n">
        <v>42538</v>
      </c>
      <c r="B2220" s="37" t="n">
        <v>2139.27685546875</v>
      </c>
    </row>
    <row r="2221" customFormat="false" ht="15" hidden="false" customHeight="false" outlineLevel="0" collapsed="false">
      <c r="A2221" s="148" t="n">
        <v>42541</v>
      </c>
      <c r="B2221" s="37" t="n">
        <v>2099.29028320313</v>
      </c>
    </row>
    <row r="2222" customFormat="false" ht="15" hidden="false" customHeight="false" outlineLevel="0" collapsed="false">
      <c r="A2222" s="148" t="n">
        <v>42542</v>
      </c>
      <c r="B2222" s="37" t="n">
        <v>2099.29028320313</v>
      </c>
    </row>
    <row r="2223" customFormat="false" ht="15" hidden="false" customHeight="false" outlineLevel="0" collapsed="false">
      <c r="A2223" s="148" t="n">
        <v>42543</v>
      </c>
      <c r="B2223" s="37" t="n">
        <v>2099.29028320313</v>
      </c>
    </row>
    <row r="2224" customFormat="false" ht="15" hidden="false" customHeight="false" outlineLevel="0" collapsed="false">
      <c r="A2224" s="148" t="n">
        <v>42544</v>
      </c>
      <c r="B2224" s="37" t="n">
        <v>2099.29028320313</v>
      </c>
    </row>
    <row r="2225" customFormat="false" ht="15" hidden="false" customHeight="false" outlineLevel="0" collapsed="false">
      <c r="A2225" s="148" t="n">
        <v>42545</v>
      </c>
      <c r="B2225" s="37" t="n">
        <v>2041.30993652344</v>
      </c>
    </row>
    <row r="2226" customFormat="false" ht="15" hidden="false" customHeight="false" outlineLevel="0" collapsed="false">
      <c r="A2226" s="148" t="n">
        <v>42548</v>
      </c>
      <c r="B2226" s="37" t="n">
        <v>2099.29028320313</v>
      </c>
    </row>
    <row r="2227" customFormat="false" ht="15" hidden="false" customHeight="false" outlineLevel="0" collapsed="false">
      <c r="A2227" s="148" t="n">
        <v>42549</v>
      </c>
      <c r="B2227" s="37" t="n">
        <v>2099.29028320313</v>
      </c>
    </row>
    <row r="2228" customFormat="false" ht="15" hidden="false" customHeight="false" outlineLevel="0" collapsed="false">
      <c r="A2228" s="148" t="n">
        <v>42550</v>
      </c>
      <c r="B2228" s="37" t="n">
        <v>2099.29028320313</v>
      </c>
    </row>
    <row r="2229" customFormat="false" ht="15" hidden="false" customHeight="false" outlineLevel="0" collapsed="false">
      <c r="A2229" s="148" t="n">
        <v>42551</v>
      </c>
      <c r="B2229" s="37" t="n">
        <v>2049.30712890625</v>
      </c>
    </row>
    <row r="2230" customFormat="false" ht="15" hidden="false" customHeight="false" outlineLevel="0" collapsed="false">
      <c r="A2230" s="148" t="n">
        <v>42552</v>
      </c>
      <c r="B2230" s="37" t="n">
        <v>2089.29370117188</v>
      </c>
    </row>
    <row r="2231" customFormat="false" ht="15" hidden="false" customHeight="false" outlineLevel="0" collapsed="false">
      <c r="A2231" s="148" t="n">
        <v>42555</v>
      </c>
      <c r="B2231" s="37" t="n">
        <v>2087.29443359375</v>
      </c>
    </row>
    <row r="2232" customFormat="false" ht="15" hidden="false" customHeight="false" outlineLevel="0" collapsed="false">
      <c r="A2232" s="148" t="n">
        <v>42556</v>
      </c>
      <c r="B2232" s="37" t="n">
        <v>2073.29907226563</v>
      </c>
    </row>
    <row r="2233" customFormat="false" ht="15" hidden="false" customHeight="false" outlineLevel="0" collapsed="false">
      <c r="A2233" s="148" t="n">
        <v>42557</v>
      </c>
      <c r="B2233" s="37" t="n">
        <v>1999.32421875</v>
      </c>
    </row>
    <row r="2234" customFormat="false" ht="15" hidden="false" customHeight="false" outlineLevel="0" collapsed="false">
      <c r="A2234" s="148" t="n">
        <v>42558</v>
      </c>
      <c r="B2234" s="37" t="n">
        <v>1956.33862304688</v>
      </c>
    </row>
    <row r="2235" customFormat="false" ht="15" hidden="false" customHeight="false" outlineLevel="0" collapsed="false">
      <c r="A2235" s="148" t="n">
        <v>42559</v>
      </c>
      <c r="B2235" s="37" t="n">
        <v>1974.33251953125</v>
      </c>
    </row>
    <row r="2236" customFormat="false" ht="15" hidden="false" customHeight="false" outlineLevel="0" collapsed="false">
      <c r="A2236" s="148" t="n">
        <v>42562</v>
      </c>
      <c r="B2236" s="37" t="n">
        <v>1999.32421875</v>
      </c>
    </row>
    <row r="2237" customFormat="false" ht="15" hidden="false" customHeight="false" outlineLevel="0" collapsed="false">
      <c r="A2237" s="148" t="n">
        <v>42563</v>
      </c>
      <c r="B2237" s="37" t="n">
        <v>1974.33251953125</v>
      </c>
    </row>
    <row r="2238" customFormat="false" ht="15" hidden="false" customHeight="false" outlineLevel="0" collapsed="false">
      <c r="A2238" s="148" t="n">
        <v>42564</v>
      </c>
      <c r="B2238" s="37" t="n">
        <v>1999.32421875</v>
      </c>
    </row>
    <row r="2239" customFormat="false" ht="15" hidden="false" customHeight="false" outlineLevel="0" collapsed="false">
      <c r="A2239" s="148" t="n">
        <v>42565</v>
      </c>
      <c r="B2239" s="37" t="n">
        <v>1979.33081054688</v>
      </c>
    </row>
    <row r="2240" customFormat="false" ht="15" hidden="false" customHeight="false" outlineLevel="0" collapsed="false">
      <c r="A2240" s="148" t="n">
        <v>42566</v>
      </c>
      <c r="B2240" s="37" t="n">
        <v>1983.32958984375</v>
      </c>
    </row>
    <row r="2241" customFormat="false" ht="15" hidden="false" customHeight="false" outlineLevel="0" collapsed="false">
      <c r="A2241" s="148" t="n">
        <v>42569</v>
      </c>
      <c r="B2241" s="37" t="n">
        <v>1979.33081054688</v>
      </c>
    </row>
    <row r="2242" customFormat="false" ht="15" hidden="false" customHeight="false" outlineLevel="0" collapsed="false">
      <c r="A2242" s="148" t="n">
        <v>42570</v>
      </c>
      <c r="B2242" s="37" t="n">
        <v>1974.33251953125</v>
      </c>
    </row>
    <row r="2243" customFormat="false" ht="15" hidden="false" customHeight="false" outlineLevel="0" collapsed="false">
      <c r="A2243" s="148" t="n">
        <v>42571</v>
      </c>
      <c r="B2243" s="37" t="n">
        <v>1989.32751464844</v>
      </c>
    </row>
    <row r="2244" customFormat="false" ht="15" hidden="false" customHeight="false" outlineLevel="0" collapsed="false">
      <c r="A2244" s="148" t="n">
        <v>42572</v>
      </c>
      <c r="B2244" s="37" t="n">
        <v>1969.33422851563</v>
      </c>
    </row>
    <row r="2245" customFormat="false" ht="15" hidden="false" customHeight="false" outlineLevel="0" collapsed="false">
      <c r="A2245" s="148" t="n">
        <v>42573</v>
      </c>
      <c r="B2245" s="37" t="n">
        <v>1950.34069824219</v>
      </c>
    </row>
    <row r="2246" customFormat="false" ht="15" hidden="false" customHeight="false" outlineLevel="0" collapsed="false">
      <c r="A2246" s="148" t="n">
        <v>42576</v>
      </c>
      <c r="B2246" s="37" t="n">
        <v>1955.33911132813</v>
      </c>
    </row>
    <row r="2247" customFormat="false" ht="15" hidden="false" customHeight="false" outlineLevel="0" collapsed="false">
      <c r="A2247" s="148" t="n">
        <v>42577</v>
      </c>
      <c r="B2247" s="37" t="n">
        <v>1998.32446289063</v>
      </c>
    </row>
    <row r="2248" customFormat="false" ht="15" hidden="false" customHeight="false" outlineLevel="0" collapsed="false">
      <c r="A2248" s="148" t="n">
        <v>42578</v>
      </c>
      <c r="B2248" s="37" t="n">
        <v>1979.33081054688</v>
      </c>
    </row>
    <row r="2249" customFormat="false" ht="15" hidden="false" customHeight="false" outlineLevel="0" collapsed="false">
      <c r="A2249" s="148" t="n">
        <v>42579</v>
      </c>
      <c r="B2249" s="37" t="n">
        <v>1949.34106445313</v>
      </c>
    </row>
    <row r="2250" customFormat="false" ht="15" hidden="false" customHeight="false" outlineLevel="0" collapsed="false">
      <c r="A2250" s="148" t="n">
        <v>42580</v>
      </c>
      <c r="B2250" s="37" t="n">
        <v>1978.33129882813</v>
      </c>
    </row>
    <row r="2251" customFormat="false" ht="15" hidden="false" customHeight="false" outlineLevel="0" collapsed="false">
      <c r="A2251" s="148" t="n">
        <v>42583</v>
      </c>
      <c r="B2251" s="37" t="n">
        <v>1959.33764648438</v>
      </c>
    </row>
    <row r="2252" customFormat="false" ht="15" hidden="false" customHeight="false" outlineLevel="0" collapsed="false">
      <c r="A2252" s="148" t="n">
        <v>42584</v>
      </c>
      <c r="B2252" s="37" t="n">
        <v>1984.3291015625</v>
      </c>
    </row>
    <row r="2253" customFormat="false" ht="15" hidden="false" customHeight="false" outlineLevel="0" collapsed="false">
      <c r="A2253" s="148" t="n">
        <v>42585</v>
      </c>
      <c r="B2253" s="37" t="n">
        <v>1984.3291015625</v>
      </c>
    </row>
    <row r="2254" customFormat="false" ht="15" hidden="false" customHeight="false" outlineLevel="0" collapsed="false">
      <c r="A2254" s="148" t="n">
        <v>42586</v>
      </c>
      <c r="B2254" s="37" t="n">
        <v>1989.32751464844</v>
      </c>
    </row>
    <row r="2255" customFormat="false" ht="15" hidden="false" customHeight="false" outlineLevel="0" collapsed="false">
      <c r="A2255" s="148" t="n">
        <v>42587</v>
      </c>
      <c r="B2255" s="37" t="n">
        <v>1971.33349609375</v>
      </c>
    </row>
    <row r="2256" customFormat="false" ht="15" hidden="false" customHeight="false" outlineLevel="0" collapsed="false">
      <c r="A2256" s="148" t="n">
        <v>42590</v>
      </c>
      <c r="B2256" s="37" t="n">
        <v>1949.34106445313</v>
      </c>
    </row>
    <row r="2257" customFormat="false" ht="15" hidden="false" customHeight="false" outlineLevel="0" collapsed="false">
      <c r="A2257" s="148" t="n">
        <v>42591</v>
      </c>
      <c r="B2257" s="37" t="n">
        <v>1949.34106445313</v>
      </c>
    </row>
    <row r="2258" customFormat="false" ht="15" hidden="false" customHeight="false" outlineLevel="0" collapsed="false">
      <c r="A2258" s="148" t="n">
        <v>42592</v>
      </c>
      <c r="B2258" s="37" t="n">
        <v>1949.34106445313</v>
      </c>
    </row>
    <row r="2259" customFormat="false" ht="15" hidden="false" customHeight="false" outlineLevel="0" collapsed="false">
      <c r="A2259" s="148" t="n">
        <v>42593</v>
      </c>
      <c r="B2259" s="37" t="n">
        <v>1900.35766601563</v>
      </c>
    </row>
    <row r="2260" customFormat="false" ht="15" hidden="false" customHeight="false" outlineLevel="0" collapsed="false">
      <c r="A2260" s="148" t="n">
        <v>42594</v>
      </c>
      <c r="B2260" s="37" t="n">
        <v>1849.37487792969</v>
      </c>
    </row>
    <row r="2261" customFormat="false" ht="15" hidden="false" customHeight="false" outlineLevel="0" collapsed="false">
      <c r="A2261" s="148" t="n">
        <v>42597</v>
      </c>
      <c r="B2261" s="37" t="n">
        <v>1854.37316894531</v>
      </c>
    </row>
    <row r="2262" customFormat="false" ht="15" hidden="false" customHeight="false" outlineLevel="0" collapsed="false">
      <c r="A2262" s="148" t="n">
        <v>42598</v>
      </c>
      <c r="B2262" s="37" t="n">
        <v>1840.37780761719</v>
      </c>
    </row>
    <row r="2263" customFormat="false" ht="15" hidden="false" customHeight="false" outlineLevel="0" collapsed="false">
      <c r="A2263" s="148" t="n">
        <v>42599</v>
      </c>
      <c r="B2263" s="37" t="n">
        <v>1896.35888671875</v>
      </c>
    </row>
    <row r="2264" customFormat="false" ht="15" hidden="false" customHeight="false" outlineLevel="0" collapsed="false">
      <c r="A2264" s="148" t="n">
        <v>42600</v>
      </c>
      <c r="B2264" s="37" t="n">
        <v>1825.38293457031</v>
      </c>
    </row>
    <row r="2265" customFormat="false" ht="15" hidden="false" customHeight="false" outlineLevel="0" collapsed="false">
      <c r="A2265" s="148" t="n">
        <v>42601</v>
      </c>
      <c r="B2265" s="37" t="n">
        <v>1824.38317871094</v>
      </c>
    </row>
    <row r="2266" customFormat="false" ht="15" hidden="false" customHeight="false" outlineLevel="0" collapsed="false">
      <c r="A2266" s="148" t="n">
        <v>42604</v>
      </c>
      <c r="B2266" s="37" t="n">
        <v>1824.38317871094</v>
      </c>
    </row>
    <row r="2267" customFormat="false" ht="15" hidden="false" customHeight="false" outlineLevel="0" collapsed="false">
      <c r="A2267" s="148" t="n">
        <v>42605</v>
      </c>
      <c r="B2267" s="37" t="n">
        <v>1896.35888671875</v>
      </c>
    </row>
    <row r="2268" customFormat="false" ht="15" hidden="false" customHeight="false" outlineLevel="0" collapsed="false">
      <c r="A2268" s="148" t="n">
        <v>42606</v>
      </c>
      <c r="B2268" s="37" t="n">
        <v>1824.38317871094</v>
      </c>
    </row>
    <row r="2269" customFormat="false" ht="15" hidden="false" customHeight="false" outlineLevel="0" collapsed="false">
      <c r="A2269" s="148" t="n">
        <v>42607</v>
      </c>
      <c r="B2269" s="37" t="n">
        <v>1849.37487792969</v>
      </c>
    </row>
    <row r="2270" customFormat="false" ht="15" hidden="false" customHeight="false" outlineLevel="0" collapsed="false">
      <c r="A2270" s="148" t="n">
        <v>42608</v>
      </c>
      <c r="B2270" s="37" t="n">
        <v>1849.37487792969</v>
      </c>
    </row>
    <row r="2271" customFormat="false" ht="15" hidden="false" customHeight="false" outlineLevel="0" collapsed="false">
      <c r="A2271" s="148" t="n">
        <v>42611</v>
      </c>
      <c r="B2271" s="37" t="n">
        <v>1879.36474609375</v>
      </c>
    </row>
    <row r="2272" customFormat="false" ht="15" hidden="false" customHeight="false" outlineLevel="0" collapsed="false">
      <c r="A2272" s="148" t="n">
        <v>42612</v>
      </c>
      <c r="B2272" s="37" t="n">
        <v>1849.37487792969</v>
      </c>
    </row>
    <row r="2273" customFormat="false" ht="15" hidden="false" customHeight="false" outlineLevel="0" collapsed="false">
      <c r="A2273" s="148" t="n">
        <v>42613</v>
      </c>
      <c r="B2273" s="37" t="n">
        <v>1799.39172363281</v>
      </c>
    </row>
    <row r="2274" customFormat="false" ht="15" hidden="false" customHeight="false" outlineLevel="0" collapsed="false">
      <c r="A2274" s="148" t="n">
        <v>42614</v>
      </c>
      <c r="B2274" s="37" t="n">
        <v>1819.38488769531</v>
      </c>
    </row>
    <row r="2275" customFormat="false" ht="15" hidden="false" customHeight="false" outlineLevel="0" collapsed="false">
      <c r="A2275" s="148" t="n">
        <v>42615</v>
      </c>
      <c r="B2275" s="37" t="n">
        <v>1869.36804199219</v>
      </c>
    </row>
    <row r="2276" customFormat="false" ht="15" hidden="false" customHeight="false" outlineLevel="0" collapsed="false">
      <c r="A2276" s="148" t="n">
        <v>42618</v>
      </c>
      <c r="B2276" s="37" t="n">
        <v>1827.38220214844</v>
      </c>
    </row>
    <row r="2277" customFormat="false" ht="15" hidden="false" customHeight="false" outlineLevel="0" collapsed="false">
      <c r="A2277" s="148" t="n">
        <v>42619</v>
      </c>
      <c r="B2277" s="37" t="n">
        <v>1845.37609863281</v>
      </c>
    </row>
    <row r="2278" customFormat="false" ht="15" hidden="false" customHeight="false" outlineLevel="0" collapsed="false">
      <c r="A2278" s="148" t="n">
        <v>42620</v>
      </c>
      <c r="B2278" s="37" t="n">
        <v>1834.3798828125</v>
      </c>
    </row>
    <row r="2279" customFormat="false" ht="15" hidden="false" customHeight="false" outlineLevel="0" collapsed="false">
      <c r="A2279" s="148" t="n">
        <v>42621</v>
      </c>
      <c r="B2279" s="37" t="n">
        <v>1844.37658691406</v>
      </c>
    </row>
    <row r="2280" customFormat="false" ht="15" hidden="false" customHeight="false" outlineLevel="0" collapsed="false">
      <c r="A2280" s="148" t="n">
        <v>42622</v>
      </c>
      <c r="B2280" s="37" t="n">
        <v>1840.37780761719</v>
      </c>
    </row>
    <row r="2281" customFormat="false" ht="15" hidden="false" customHeight="false" outlineLevel="0" collapsed="false">
      <c r="A2281" s="148" t="n">
        <v>42625</v>
      </c>
      <c r="B2281" s="37" t="n">
        <v>1789.39514160156</v>
      </c>
    </row>
    <row r="2282" customFormat="false" ht="15" hidden="false" customHeight="false" outlineLevel="0" collapsed="false">
      <c r="A2282" s="148" t="n">
        <v>42626</v>
      </c>
      <c r="B2282" s="37" t="n">
        <v>1789.39514160156</v>
      </c>
    </row>
    <row r="2283" customFormat="false" ht="15" hidden="false" customHeight="false" outlineLevel="0" collapsed="false">
      <c r="A2283" s="148" t="n">
        <v>42627</v>
      </c>
      <c r="B2283" s="37" t="n">
        <v>1794.39343261719</v>
      </c>
    </row>
    <row r="2284" customFormat="false" ht="15" hidden="false" customHeight="false" outlineLevel="0" collapsed="false">
      <c r="A2284" s="148" t="n">
        <v>42628</v>
      </c>
      <c r="B2284" s="37" t="n">
        <v>1789.39514160156</v>
      </c>
    </row>
    <row r="2285" customFormat="false" ht="15" hidden="false" customHeight="false" outlineLevel="0" collapsed="false">
      <c r="A2285" s="148" t="n">
        <v>42629</v>
      </c>
      <c r="B2285" s="37" t="n">
        <v>1797.39245605469</v>
      </c>
    </row>
    <row r="2286" customFormat="false" ht="15" hidden="false" customHeight="false" outlineLevel="0" collapsed="false">
      <c r="A2286" s="148" t="n">
        <v>42632</v>
      </c>
      <c r="B2286" s="37" t="n">
        <v>1781.39782714844</v>
      </c>
    </row>
    <row r="2287" customFormat="false" ht="15" hidden="false" customHeight="false" outlineLevel="0" collapsed="false">
      <c r="A2287" s="148" t="n">
        <v>42633</v>
      </c>
      <c r="B2287" s="37" t="n">
        <v>1779.39855957031</v>
      </c>
    </row>
    <row r="2288" customFormat="false" ht="15" hidden="false" customHeight="false" outlineLevel="0" collapsed="false">
      <c r="A2288" s="148" t="n">
        <v>42634</v>
      </c>
      <c r="B2288" s="37" t="n">
        <v>1779.39855957031</v>
      </c>
    </row>
    <row r="2289" customFormat="false" ht="15" hidden="false" customHeight="false" outlineLevel="0" collapsed="false">
      <c r="A2289" s="148" t="n">
        <v>42635</v>
      </c>
      <c r="B2289" s="37" t="n">
        <v>1781.39782714844</v>
      </c>
    </row>
    <row r="2290" customFormat="false" ht="15" hidden="false" customHeight="false" outlineLevel="0" collapsed="false">
      <c r="A2290" s="148" t="n">
        <v>42636</v>
      </c>
      <c r="B2290" s="37" t="n">
        <v>1844.37658691406</v>
      </c>
    </row>
    <row r="2291" customFormat="false" ht="15" hidden="false" customHeight="false" outlineLevel="0" collapsed="false">
      <c r="A2291" s="148" t="n">
        <v>42639</v>
      </c>
      <c r="B2291" s="37" t="n">
        <v>1823.38366699219</v>
      </c>
    </row>
    <row r="2292" customFormat="false" ht="15" hidden="false" customHeight="false" outlineLevel="0" collapsed="false">
      <c r="A2292" s="148" t="n">
        <v>42640</v>
      </c>
      <c r="B2292" s="37" t="n">
        <v>1799.39172363281</v>
      </c>
    </row>
    <row r="2293" customFormat="false" ht="15" hidden="false" customHeight="false" outlineLevel="0" collapsed="false">
      <c r="A2293" s="148" t="n">
        <v>42641</v>
      </c>
      <c r="B2293" s="37" t="n">
        <v>1804.39001464844</v>
      </c>
    </row>
    <row r="2294" customFormat="false" ht="15" hidden="false" customHeight="false" outlineLevel="0" collapsed="false">
      <c r="A2294" s="148" t="n">
        <v>42642</v>
      </c>
      <c r="B2294" s="37" t="n">
        <v>1819.38488769531</v>
      </c>
    </row>
    <row r="2295" customFormat="false" ht="15" hidden="false" customHeight="false" outlineLevel="0" collapsed="false">
      <c r="A2295" s="148" t="n">
        <v>42643</v>
      </c>
      <c r="B2295" s="37" t="n">
        <v>1819.38488769531</v>
      </c>
    </row>
    <row r="2296" customFormat="false" ht="15" hidden="false" customHeight="false" outlineLevel="0" collapsed="false">
      <c r="A2296" s="148" t="n">
        <v>42646</v>
      </c>
      <c r="B2296" s="37" t="n">
        <v>1775.39978027344</v>
      </c>
    </row>
    <row r="2297" customFormat="false" ht="15" hidden="false" customHeight="false" outlineLevel="0" collapsed="false">
      <c r="A2297" s="148" t="n">
        <v>42647</v>
      </c>
      <c r="B2297" s="37" t="n">
        <v>1794.39343261719</v>
      </c>
    </row>
    <row r="2298" customFormat="false" ht="15" hidden="false" customHeight="false" outlineLevel="0" collapsed="false">
      <c r="A2298" s="148" t="n">
        <v>42648</v>
      </c>
      <c r="B2298" s="37" t="n">
        <v>1779.39855957031</v>
      </c>
    </row>
    <row r="2299" customFormat="false" ht="15" hidden="false" customHeight="false" outlineLevel="0" collapsed="false">
      <c r="A2299" s="148" t="n">
        <v>42649</v>
      </c>
      <c r="B2299" s="37" t="n">
        <v>1784.39685058594</v>
      </c>
    </row>
    <row r="2300" customFormat="false" ht="15" hidden="false" customHeight="false" outlineLevel="0" collapsed="false">
      <c r="A2300" s="148" t="n">
        <v>42650</v>
      </c>
      <c r="B2300" s="37" t="n">
        <v>1687.42956542969</v>
      </c>
    </row>
    <row r="2301" customFormat="false" ht="15" hidden="false" customHeight="false" outlineLevel="0" collapsed="false">
      <c r="A2301" s="148" t="n">
        <v>42653</v>
      </c>
      <c r="B2301" s="37" t="n">
        <v>1683.43090820313</v>
      </c>
    </row>
    <row r="2302" customFormat="false" ht="15" hidden="false" customHeight="false" outlineLevel="0" collapsed="false">
      <c r="A2302" s="148" t="n">
        <v>42654</v>
      </c>
      <c r="B2302" s="37" t="n">
        <v>1605.45727539063</v>
      </c>
    </row>
    <row r="2303" customFormat="false" ht="15" hidden="false" customHeight="false" outlineLevel="0" collapsed="false">
      <c r="A2303" s="148" t="n">
        <v>42655</v>
      </c>
      <c r="B2303" s="37" t="n">
        <v>1604.45764160156</v>
      </c>
    </row>
    <row r="2304" customFormat="false" ht="15" hidden="false" customHeight="false" outlineLevel="0" collapsed="false">
      <c r="A2304" s="148" t="n">
        <v>42656</v>
      </c>
      <c r="B2304" s="37" t="n">
        <v>1549.47619628906</v>
      </c>
    </row>
    <row r="2305" customFormat="false" ht="15" hidden="false" customHeight="false" outlineLevel="0" collapsed="false">
      <c r="A2305" s="148" t="n">
        <v>42657</v>
      </c>
      <c r="B2305" s="37" t="n">
        <v>1589.46264648438</v>
      </c>
    </row>
    <row r="2306" customFormat="false" ht="15" hidden="false" customHeight="false" outlineLevel="0" collapsed="false">
      <c r="A2306" s="148" t="n">
        <v>42660</v>
      </c>
      <c r="B2306" s="37" t="n">
        <v>1549.47619628906</v>
      </c>
    </row>
    <row r="2307" customFormat="false" ht="15" hidden="false" customHeight="false" outlineLevel="0" collapsed="false">
      <c r="A2307" s="148" t="n">
        <v>42661</v>
      </c>
      <c r="B2307" s="37" t="n">
        <v>1619.45263671875</v>
      </c>
    </row>
    <row r="2308" customFormat="false" ht="15" hidden="false" customHeight="false" outlineLevel="0" collapsed="false">
      <c r="A2308" s="148" t="n">
        <v>42662</v>
      </c>
      <c r="B2308" s="37" t="n">
        <v>1674.43395996094</v>
      </c>
    </row>
    <row r="2309" customFormat="false" ht="15" hidden="false" customHeight="false" outlineLevel="0" collapsed="false">
      <c r="A2309" s="148" t="n">
        <v>42663</v>
      </c>
      <c r="B2309" s="37" t="n">
        <v>1674.43395996094</v>
      </c>
    </row>
    <row r="2310" customFormat="false" ht="15" hidden="false" customHeight="false" outlineLevel="0" collapsed="false">
      <c r="A2310" s="148" t="n">
        <v>42664</v>
      </c>
      <c r="B2310" s="37" t="n">
        <v>1669.43566894531</v>
      </c>
    </row>
    <row r="2311" customFormat="false" ht="15" hidden="false" customHeight="false" outlineLevel="0" collapsed="false">
      <c r="A2311" s="148" t="n">
        <v>42667</v>
      </c>
      <c r="B2311" s="37" t="n">
        <v>1664.43725585938</v>
      </c>
    </row>
    <row r="2312" customFormat="false" ht="15" hidden="false" customHeight="false" outlineLevel="0" collapsed="false">
      <c r="A2312" s="148" t="n">
        <v>42668</v>
      </c>
      <c r="B2312" s="37" t="n">
        <v>1682.43127441406</v>
      </c>
    </row>
    <row r="2313" customFormat="false" ht="15" hidden="false" customHeight="false" outlineLevel="0" collapsed="false">
      <c r="A2313" s="148" t="n">
        <v>42669</v>
      </c>
      <c r="B2313" s="37" t="n">
        <v>1679.43225097656</v>
      </c>
    </row>
    <row r="2314" customFormat="false" ht="15" hidden="false" customHeight="false" outlineLevel="0" collapsed="false">
      <c r="A2314" s="148" t="n">
        <v>42670</v>
      </c>
      <c r="B2314" s="37" t="n">
        <v>1676.43334960938</v>
      </c>
    </row>
    <row r="2315" customFormat="false" ht="15" hidden="false" customHeight="false" outlineLevel="0" collapsed="false">
      <c r="A2315" s="148" t="n">
        <v>42671</v>
      </c>
      <c r="B2315" s="37" t="n">
        <v>1678.4326171875</v>
      </c>
    </row>
    <row r="2316" customFormat="false" ht="15" hidden="false" customHeight="false" outlineLevel="0" collapsed="false">
      <c r="A2316" s="148" t="n">
        <v>42674</v>
      </c>
      <c r="B2316" s="37" t="n">
        <v>1663.43774414063</v>
      </c>
    </row>
    <row r="2317" customFormat="false" ht="15" hidden="false" customHeight="false" outlineLevel="0" collapsed="false">
      <c r="A2317" s="148" t="n">
        <v>42675</v>
      </c>
      <c r="B2317" s="37" t="n">
        <v>1641.44506835938</v>
      </c>
    </row>
    <row r="2318" customFormat="false" ht="15" hidden="false" customHeight="false" outlineLevel="0" collapsed="false">
      <c r="A2318" s="148" t="n">
        <v>42676</v>
      </c>
      <c r="B2318" s="37" t="n">
        <v>1562.47180175781</v>
      </c>
    </row>
    <row r="2319" customFormat="false" ht="15" hidden="false" customHeight="false" outlineLevel="0" collapsed="false">
      <c r="A2319" s="148" t="n">
        <v>42677</v>
      </c>
      <c r="B2319" s="37" t="n">
        <v>1569.46948242188</v>
      </c>
    </row>
    <row r="2320" customFormat="false" ht="15" hidden="false" customHeight="false" outlineLevel="0" collapsed="false">
      <c r="A2320" s="148" t="n">
        <v>42678</v>
      </c>
      <c r="B2320" s="37" t="n">
        <v>1599.45922851563</v>
      </c>
    </row>
    <row r="2321" customFormat="false" ht="15" hidden="false" customHeight="false" outlineLevel="0" collapsed="false">
      <c r="A2321" s="148" t="n">
        <v>42681</v>
      </c>
      <c r="B2321" s="37" t="n">
        <v>1554.47448730469</v>
      </c>
    </row>
    <row r="2322" customFormat="false" ht="15" hidden="false" customHeight="false" outlineLevel="0" collapsed="false">
      <c r="A2322" s="148" t="n">
        <v>42682</v>
      </c>
      <c r="B2322" s="37" t="n">
        <v>1529.48303222656</v>
      </c>
    </row>
    <row r="2323" customFormat="false" ht="15" hidden="false" customHeight="false" outlineLevel="0" collapsed="false">
      <c r="A2323" s="148" t="n">
        <v>42683</v>
      </c>
      <c r="B2323" s="37" t="n">
        <v>1549.47619628906</v>
      </c>
    </row>
    <row r="2324" customFormat="false" ht="15" hidden="false" customHeight="false" outlineLevel="0" collapsed="false">
      <c r="A2324" s="148" t="n">
        <v>42684</v>
      </c>
      <c r="B2324" s="37" t="n">
        <v>1584.46435546875</v>
      </c>
    </row>
    <row r="2325" customFormat="false" ht="15" hidden="false" customHeight="false" outlineLevel="0" collapsed="false">
      <c r="A2325" s="148" t="n">
        <v>42685</v>
      </c>
      <c r="B2325" s="37" t="n">
        <v>1598.45971679688</v>
      </c>
    </row>
    <row r="2326" customFormat="false" ht="15" hidden="false" customHeight="false" outlineLevel="0" collapsed="false">
      <c r="A2326" s="148" t="n">
        <v>42688</v>
      </c>
      <c r="B2326" s="37" t="n">
        <v>1599.45922851563</v>
      </c>
    </row>
    <row r="2327" customFormat="false" ht="15" hidden="false" customHeight="false" outlineLevel="0" collapsed="false">
      <c r="A2327" s="148" t="n">
        <v>42689</v>
      </c>
      <c r="B2327" s="37" t="n">
        <v>1621.45190429688</v>
      </c>
    </row>
    <row r="2328" customFormat="false" ht="15" hidden="false" customHeight="false" outlineLevel="0" collapsed="false">
      <c r="A2328" s="148" t="n">
        <v>42690</v>
      </c>
      <c r="B2328" s="37" t="n">
        <v>1599.45922851563</v>
      </c>
    </row>
    <row r="2329" customFormat="false" ht="15" hidden="false" customHeight="false" outlineLevel="0" collapsed="false">
      <c r="A2329" s="148" t="n">
        <v>42691</v>
      </c>
      <c r="B2329" s="37" t="n">
        <v>1647.44311523438</v>
      </c>
    </row>
    <row r="2330" customFormat="false" ht="15" hidden="false" customHeight="false" outlineLevel="0" collapsed="false">
      <c r="A2330" s="148" t="n">
        <v>42692</v>
      </c>
      <c r="B2330" s="37" t="n">
        <v>1649.4423828125</v>
      </c>
    </row>
    <row r="2331" customFormat="false" ht="15" hidden="false" customHeight="false" outlineLevel="0" collapsed="false">
      <c r="A2331" s="148" t="n">
        <v>42695</v>
      </c>
      <c r="B2331" s="37" t="n">
        <v>1649.4423828125</v>
      </c>
    </row>
    <row r="2332" customFormat="false" ht="15" hidden="false" customHeight="false" outlineLevel="0" collapsed="false">
      <c r="A2332" s="148" t="n">
        <v>42696</v>
      </c>
      <c r="B2332" s="37" t="n">
        <v>1650.44213867188</v>
      </c>
    </row>
    <row r="2333" customFormat="false" ht="15" hidden="false" customHeight="false" outlineLevel="0" collapsed="false">
      <c r="A2333" s="148" t="n">
        <v>42697</v>
      </c>
      <c r="B2333" s="37" t="n">
        <v>1654.44067382813</v>
      </c>
    </row>
    <row r="2334" customFormat="false" ht="15" hidden="false" customHeight="false" outlineLevel="0" collapsed="false">
      <c r="A2334" s="148" t="n">
        <v>42698</v>
      </c>
      <c r="B2334" s="37" t="n">
        <v>1654.44067382813</v>
      </c>
    </row>
    <row r="2335" customFormat="false" ht="15" hidden="false" customHeight="false" outlineLevel="0" collapsed="false">
      <c r="A2335" s="148" t="n">
        <v>42699</v>
      </c>
      <c r="B2335" s="37" t="n">
        <v>1687.42956542969</v>
      </c>
    </row>
    <row r="2336" customFormat="false" ht="15" hidden="false" customHeight="false" outlineLevel="0" collapsed="false">
      <c r="A2336" s="148" t="n">
        <v>42702</v>
      </c>
      <c r="B2336" s="37" t="n">
        <v>1680.43188476563</v>
      </c>
    </row>
    <row r="2337" customFormat="false" ht="15" hidden="false" customHeight="false" outlineLevel="0" collapsed="false">
      <c r="A2337" s="148" t="n">
        <v>42703</v>
      </c>
      <c r="B2337" s="37" t="n">
        <v>1659.43896484375</v>
      </c>
    </row>
    <row r="2338" customFormat="false" ht="15" hidden="false" customHeight="false" outlineLevel="0" collapsed="false">
      <c r="A2338" s="148" t="n">
        <v>42704</v>
      </c>
      <c r="B2338" s="37" t="n">
        <v>1693.42749023438</v>
      </c>
    </row>
    <row r="2339" customFormat="false" ht="15" hidden="false" customHeight="false" outlineLevel="0" collapsed="false">
      <c r="A2339" s="148" t="n">
        <v>42705</v>
      </c>
      <c r="B2339" s="37" t="n">
        <v>1693.42749023438</v>
      </c>
    </row>
    <row r="2340" customFormat="false" ht="15" hidden="false" customHeight="false" outlineLevel="0" collapsed="false">
      <c r="A2340" s="148" t="n">
        <v>42706</v>
      </c>
      <c r="B2340" s="37" t="n">
        <v>1693.42749023438</v>
      </c>
    </row>
    <row r="2341" customFormat="false" ht="15" hidden="false" customHeight="false" outlineLevel="0" collapsed="false">
      <c r="A2341" s="148" t="n">
        <v>42709</v>
      </c>
      <c r="B2341" s="37" t="n">
        <v>1854.37316894531</v>
      </c>
    </row>
    <row r="2342" customFormat="false" ht="15" hidden="false" customHeight="false" outlineLevel="0" collapsed="false">
      <c r="A2342" s="148" t="n">
        <v>42710</v>
      </c>
      <c r="B2342" s="37" t="n">
        <v>1804.39001464844</v>
      </c>
    </row>
    <row r="2343" customFormat="false" ht="15" hidden="false" customHeight="false" outlineLevel="0" collapsed="false">
      <c r="A2343" s="148" t="n">
        <v>42711</v>
      </c>
      <c r="B2343" s="37" t="n">
        <v>1799.39172363281</v>
      </c>
    </row>
    <row r="2344" customFormat="false" ht="15" hidden="false" customHeight="false" outlineLevel="0" collapsed="false">
      <c r="A2344" s="148" t="n">
        <v>42712</v>
      </c>
      <c r="B2344" s="37" t="n">
        <v>1809.38830566406</v>
      </c>
    </row>
    <row r="2345" customFormat="false" ht="15" hidden="false" customHeight="false" outlineLevel="0" collapsed="false">
      <c r="A2345" s="148" t="n">
        <v>42713</v>
      </c>
      <c r="B2345" s="37" t="n">
        <v>1819.38488769531</v>
      </c>
    </row>
    <row r="2346" customFormat="false" ht="15" hidden="false" customHeight="false" outlineLevel="0" collapsed="false">
      <c r="A2346" s="148" t="n">
        <v>42716</v>
      </c>
      <c r="B2346" s="37" t="n">
        <v>1849.37487792969</v>
      </c>
    </row>
    <row r="2347" customFormat="false" ht="15" hidden="false" customHeight="false" outlineLevel="0" collapsed="false">
      <c r="A2347" s="148" t="n">
        <v>42717</v>
      </c>
      <c r="B2347" s="37" t="n">
        <v>1843.37683105469</v>
      </c>
    </row>
    <row r="2348" customFormat="false" ht="15" hidden="false" customHeight="false" outlineLevel="0" collapsed="false">
      <c r="A2348" s="148" t="n">
        <v>42718</v>
      </c>
      <c r="B2348" s="37" t="n">
        <v>1819.38488769531</v>
      </c>
    </row>
    <row r="2349" customFormat="false" ht="15" hidden="false" customHeight="false" outlineLevel="0" collapsed="false">
      <c r="A2349" s="148" t="n">
        <v>42719</v>
      </c>
      <c r="B2349" s="37" t="n">
        <v>1799.39172363281</v>
      </c>
    </row>
    <row r="2350" customFormat="false" ht="15" hidden="false" customHeight="false" outlineLevel="0" collapsed="false">
      <c r="A2350" s="148" t="n">
        <v>42720</v>
      </c>
      <c r="B2350" s="37" t="n">
        <v>1799.39172363281</v>
      </c>
    </row>
    <row r="2351" customFormat="false" ht="15" hidden="false" customHeight="false" outlineLevel="0" collapsed="false">
      <c r="A2351" s="148" t="n">
        <v>42723</v>
      </c>
      <c r="B2351" s="37" t="n">
        <v>1819.38488769531</v>
      </c>
    </row>
    <row r="2352" customFormat="false" ht="15" hidden="false" customHeight="false" outlineLevel="0" collapsed="false">
      <c r="A2352" s="148" t="n">
        <v>42724</v>
      </c>
      <c r="B2352" s="37" t="n">
        <v>1859.37145996094</v>
      </c>
    </row>
    <row r="2353" customFormat="false" ht="15" hidden="false" customHeight="false" outlineLevel="0" collapsed="false">
      <c r="A2353" s="148" t="n">
        <v>42725</v>
      </c>
      <c r="B2353" s="37" t="n">
        <v>1850.37451171875</v>
      </c>
    </row>
    <row r="2354" customFormat="false" ht="15" hidden="false" customHeight="false" outlineLevel="0" collapsed="false">
      <c r="A2354" s="148" t="n">
        <v>42726</v>
      </c>
      <c r="B2354" s="37" t="n">
        <v>1879.36474609375</v>
      </c>
    </row>
    <row r="2355" customFormat="false" ht="15" hidden="false" customHeight="false" outlineLevel="0" collapsed="false">
      <c r="A2355" s="148" t="n">
        <v>42727</v>
      </c>
      <c r="B2355" s="37" t="n">
        <v>1878.36499023438</v>
      </c>
    </row>
    <row r="2356" customFormat="false" ht="15" hidden="false" customHeight="false" outlineLevel="0" collapsed="false">
      <c r="A2356" s="148" t="n">
        <v>42730</v>
      </c>
      <c r="B2356" s="37" t="n">
        <v>1878.36499023438</v>
      </c>
    </row>
    <row r="2357" customFormat="false" ht="15" hidden="false" customHeight="false" outlineLevel="0" collapsed="false">
      <c r="A2357" s="148" t="n">
        <v>42731</v>
      </c>
      <c r="B2357" s="37" t="n">
        <v>1878.36499023438</v>
      </c>
    </row>
    <row r="2358" customFormat="false" ht="15" hidden="false" customHeight="false" outlineLevel="0" collapsed="false">
      <c r="A2358" s="148" t="n">
        <v>42732</v>
      </c>
      <c r="B2358" s="37" t="n">
        <v>1878.36499023438</v>
      </c>
    </row>
    <row r="2359" customFormat="false" ht="15" hidden="false" customHeight="false" outlineLevel="0" collapsed="false">
      <c r="A2359" s="148" t="n">
        <v>42733</v>
      </c>
      <c r="B2359" s="37" t="n">
        <v>1899.35791015625</v>
      </c>
    </row>
    <row r="2360" customFormat="false" ht="15" hidden="false" customHeight="false" outlineLevel="0" collapsed="false">
      <c r="A2360" s="148" t="n">
        <v>42734</v>
      </c>
      <c r="B2360" s="37" t="n">
        <v>1899.35791015625</v>
      </c>
    </row>
    <row r="2361" customFormat="false" ht="15" hidden="false" customHeight="false" outlineLevel="0" collapsed="false">
      <c r="A2361" s="148" t="n">
        <v>42737</v>
      </c>
      <c r="B2361" s="37" t="n">
        <v>1899.35791015625</v>
      </c>
    </row>
    <row r="2362" customFormat="false" ht="15" hidden="false" customHeight="false" outlineLevel="0" collapsed="false">
      <c r="A2362" s="148" t="n">
        <v>42738</v>
      </c>
      <c r="B2362" s="37" t="n">
        <v>1898.35827636719</v>
      </c>
    </row>
    <row r="2363" customFormat="false" ht="15" hidden="false" customHeight="false" outlineLevel="0" collapsed="false">
      <c r="A2363" s="148" t="n">
        <v>42739</v>
      </c>
      <c r="B2363" s="37" t="n">
        <v>1849.37487792969</v>
      </c>
    </row>
    <row r="2364" customFormat="false" ht="15" hidden="false" customHeight="false" outlineLevel="0" collapsed="false">
      <c r="A2364" s="148" t="n">
        <v>42740</v>
      </c>
      <c r="B2364" s="37" t="n">
        <v>1848.37512207031</v>
      </c>
    </row>
    <row r="2365" customFormat="false" ht="15" hidden="false" customHeight="false" outlineLevel="0" collapsed="false">
      <c r="A2365" s="148" t="n">
        <v>42741</v>
      </c>
      <c r="B2365" s="37" t="n">
        <v>1847.37548828125</v>
      </c>
    </row>
    <row r="2366" customFormat="false" ht="15" hidden="false" customHeight="false" outlineLevel="0" collapsed="false">
      <c r="A2366" s="148" t="n">
        <v>42744</v>
      </c>
      <c r="B2366" s="37" t="n">
        <v>1799.39172363281</v>
      </c>
    </row>
    <row r="2367" customFormat="false" ht="15" hidden="false" customHeight="false" outlineLevel="0" collapsed="false">
      <c r="A2367" s="148" t="n">
        <v>42745</v>
      </c>
      <c r="B2367" s="37" t="n">
        <v>1799.39172363281</v>
      </c>
    </row>
    <row r="2368" customFormat="false" ht="15" hidden="false" customHeight="false" outlineLevel="0" collapsed="false">
      <c r="A2368" s="148" t="n">
        <v>42746</v>
      </c>
      <c r="B2368" s="37" t="n">
        <v>1794.39343261719</v>
      </c>
    </row>
    <row r="2369" customFormat="false" ht="15" hidden="false" customHeight="false" outlineLevel="0" collapsed="false">
      <c r="A2369" s="148" t="n">
        <v>42747</v>
      </c>
      <c r="B2369" s="37" t="n">
        <v>1779.39855957031</v>
      </c>
    </row>
    <row r="2370" customFormat="false" ht="15" hidden="false" customHeight="false" outlineLevel="0" collapsed="false">
      <c r="A2370" s="148" t="n">
        <v>42748</v>
      </c>
      <c r="B2370" s="37" t="n">
        <v>1769.40185546875</v>
      </c>
    </row>
    <row r="2371" customFormat="false" ht="15" hidden="false" customHeight="false" outlineLevel="0" collapsed="false">
      <c r="A2371" s="148" t="n">
        <v>42751</v>
      </c>
      <c r="B2371" s="37" t="n">
        <v>1739.41198730469</v>
      </c>
    </row>
    <row r="2372" customFormat="false" ht="15" hidden="false" customHeight="false" outlineLevel="0" collapsed="false">
      <c r="A2372" s="148" t="n">
        <v>42752</v>
      </c>
      <c r="B2372" s="37" t="n">
        <v>1734.41369628906</v>
      </c>
    </row>
    <row r="2373" customFormat="false" ht="15" hidden="false" customHeight="false" outlineLevel="0" collapsed="false">
      <c r="A2373" s="148" t="n">
        <v>42753</v>
      </c>
      <c r="B2373" s="37" t="n">
        <v>1749.40856933594</v>
      </c>
    </row>
    <row r="2374" customFormat="false" ht="15" hidden="false" customHeight="false" outlineLevel="0" collapsed="false">
      <c r="A2374" s="148" t="n">
        <v>42754</v>
      </c>
      <c r="B2374" s="37" t="n">
        <v>1752.40759277344</v>
      </c>
    </row>
    <row r="2375" customFormat="false" ht="15" hidden="false" customHeight="false" outlineLevel="0" collapsed="false">
      <c r="A2375" s="148" t="n">
        <v>42755</v>
      </c>
      <c r="B2375" s="37" t="n">
        <v>1752.40759277344</v>
      </c>
    </row>
    <row r="2376" customFormat="false" ht="15" hidden="false" customHeight="false" outlineLevel="0" collapsed="false">
      <c r="A2376" s="148" t="n">
        <v>42758</v>
      </c>
      <c r="B2376" s="37" t="n">
        <v>1749.40856933594</v>
      </c>
    </row>
    <row r="2377" customFormat="false" ht="15" hidden="false" customHeight="false" outlineLevel="0" collapsed="false">
      <c r="A2377" s="148" t="n">
        <v>42759</v>
      </c>
      <c r="B2377" s="37" t="n">
        <v>1779.39855957031</v>
      </c>
    </row>
    <row r="2378" customFormat="false" ht="15" hidden="false" customHeight="false" outlineLevel="0" collapsed="false">
      <c r="A2378" s="148" t="n">
        <v>42760</v>
      </c>
      <c r="B2378" s="37" t="n">
        <v>1782.3974609375</v>
      </c>
    </row>
    <row r="2379" customFormat="false" ht="15" hidden="false" customHeight="false" outlineLevel="0" collapsed="false">
      <c r="A2379" s="148" t="n">
        <v>42761</v>
      </c>
      <c r="B2379" s="37" t="n">
        <v>1764.40356445313</v>
      </c>
    </row>
    <row r="2380" customFormat="false" ht="15" hidden="false" customHeight="false" outlineLevel="0" collapsed="false">
      <c r="A2380" s="148" t="n">
        <v>42762</v>
      </c>
      <c r="B2380" s="37" t="n">
        <v>1749.40856933594</v>
      </c>
    </row>
    <row r="2381" customFormat="false" ht="15" hidden="false" customHeight="false" outlineLevel="0" collapsed="false">
      <c r="A2381" s="148" t="n">
        <v>42765</v>
      </c>
      <c r="B2381" s="37" t="n">
        <v>1749.40856933594</v>
      </c>
    </row>
    <row r="2382" customFormat="false" ht="15" hidden="false" customHeight="false" outlineLevel="0" collapsed="false">
      <c r="A2382" s="148" t="n">
        <v>42766</v>
      </c>
      <c r="B2382" s="37" t="n">
        <v>1750.40832519531</v>
      </c>
    </row>
    <row r="2383" customFormat="false" ht="15" hidden="false" customHeight="false" outlineLevel="0" collapsed="false">
      <c r="A2383" s="148" t="n">
        <v>42767</v>
      </c>
      <c r="B2383" s="37" t="n">
        <v>1761.40454101563</v>
      </c>
    </row>
    <row r="2384" customFormat="false" ht="15" hidden="false" customHeight="false" outlineLevel="0" collapsed="false">
      <c r="A2384" s="148" t="n">
        <v>42768</v>
      </c>
      <c r="B2384" s="37" t="n">
        <v>1749.40856933594</v>
      </c>
    </row>
    <row r="2385" customFormat="false" ht="15" hidden="false" customHeight="false" outlineLevel="0" collapsed="false">
      <c r="A2385" s="148" t="n">
        <v>42769</v>
      </c>
      <c r="B2385" s="37" t="n">
        <v>1782.3974609375</v>
      </c>
    </row>
    <row r="2386" customFormat="false" ht="15" hidden="false" customHeight="false" outlineLevel="0" collapsed="false">
      <c r="A2386" s="148" t="n">
        <v>42772</v>
      </c>
      <c r="B2386" s="37" t="n">
        <v>1724.41711425781</v>
      </c>
    </row>
    <row r="2387" customFormat="false" ht="15" hidden="false" customHeight="false" outlineLevel="0" collapsed="false">
      <c r="A2387" s="148" t="n">
        <v>42773</v>
      </c>
      <c r="B2387" s="37" t="n">
        <v>1749.40856933594</v>
      </c>
    </row>
    <row r="2388" customFormat="false" ht="15" hidden="false" customHeight="false" outlineLevel="0" collapsed="false">
      <c r="A2388" s="148" t="n">
        <v>42774</v>
      </c>
      <c r="B2388" s="37" t="n">
        <v>1749.40856933594</v>
      </c>
    </row>
    <row r="2389" customFormat="false" ht="15" hidden="false" customHeight="false" outlineLevel="0" collapsed="false">
      <c r="A2389" s="148" t="n">
        <v>42775</v>
      </c>
      <c r="B2389" s="37" t="n">
        <v>1749.40856933594</v>
      </c>
    </row>
    <row r="2390" customFormat="false" ht="15" hidden="false" customHeight="false" outlineLevel="0" collapsed="false">
      <c r="A2390" s="148" t="n">
        <v>42776</v>
      </c>
      <c r="B2390" s="37" t="n">
        <v>1749.40856933594</v>
      </c>
    </row>
    <row r="2391" customFormat="false" ht="15" hidden="false" customHeight="false" outlineLevel="0" collapsed="false">
      <c r="A2391" s="148" t="n">
        <v>42779</v>
      </c>
      <c r="B2391" s="37" t="n">
        <v>1749.40856933594</v>
      </c>
    </row>
    <row r="2392" customFormat="false" ht="15" hidden="false" customHeight="false" outlineLevel="0" collapsed="false">
      <c r="A2392" s="148" t="n">
        <v>42780</v>
      </c>
      <c r="B2392" s="37" t="n">
        <v>1749.40856933594</v>
      </c>
    </row>
    <row r="2393" customFormat="false" ht="15" hidden="false" customHeight="false" outlineLevel="0" collapsed="false">
      <c r="A2393" s="148" t="n">
        <v>42781</v>
      </c>
      <c r="B2393" s="37" t="n">
        <v>1764.40356445313</v>
      </c>
    </row>
    <row r="2394" customFormat="false" ht="15" hidden="false" customHeight="false" outlineLevel="0" collapsed="false">
      <c r="A2394" s="148" t="n">
        <v>42782</v>
      </c>
      <c r="B2394" s="37" t="n">
        <v>1764.40356445313</v>
      </c>
    </row>
    <row r="2395" customFormat="false" ht="15" hidden="false" customHeight="false" outlineLevel="0" collapsed="false">
      <c r="A2395" s="148" t="n">
        <v>42783</v>
      </c>
      <c r="B2395" s="37" t="n">
        <v>1769.40185546875</v>
      </c>
    </row>
    <row r="2396" customFormat="false" ht="15" hidden="false" customHeight="false" outlineLevel="0" collapsed="false">
      <c r="A2396" s="148" t="n">
        <v>42786</v>
      </c>
      <c r="B2396" s="37" t="n">
        <v>1789.39514160156</v>
      </c>
    </row>
    <row r="2397" customFormat="false" ht="15" hidden="false" customHeight="false" outlineLevel="0" collapsed="false">
      <c r="A2397" s="148" t="n">
        <v>42787</v>
      </c>
      <c r="B2397" s="37" t="n">
        <v>1801.39099121094</v>
      </c>
    </row>
    <row r="2398" customFormat="false" ht="15" hidden="false" customHeight="false" outlineLevel="0" collapsed="false">
      <c r="A2398" s="148" t="n">
        <v>42788</v>
      </c>
      <c r="B2398" s="37" t="n">
        <v>1804.39001464844</v>
      </c>
    </row>
    <row r="2399" customFormat="false" ht="15" hidden="false" customHeight="false" outlineLevel="0" collapsed="false">
      <c r="A2399" s="148" t="n">
        <v>42789</v>
      </c>
      <c r="B2399" s="37" t="n">
        <v>1829.38159179688</v>
      </c>
    </row>
    <row r="2400" customFormat="false" ht="15" hidden="false" customHeight="false" outlineLevel="0" collapsed="false">
      <c r="A2400" s="148" t="n">
        <v>42790</v>
      </c>
      <c r="B2400" s="37" t="n">
        <v>1824.38317871094</v>
      </c>
    </row>
    <row r="2401" customFormat="false" ht="15" hidden="false" customHeight="false" outlineLevel="0" collapsed="false">
      <c r="A2401" s="148" t="n">
        <v>42793</v>
      </c>
      <c r="B2401" s="37" t="n">
        <v>1799.39172363281</v>
      </c>
    </row>
    <row r="2402" customFormat="false" ht="15" hidden="false" customHeight="false" outlineLevel="0" collapsed="false">
      <c r="A2402" s="148" t="n">
        <v>42794</v>
      </c>
      <c r="B2402" s="37" t="n">
        <v>1749.40856933594</v>
      </c>
    </row>
    <row r="2403" customFormat="false" ht="15" hidden="false" customHeight="false" outlineLevel="0" collapsed="false">
      <c r="A2403" s="148" t="n">
        <v>42795</v>
      </c>
      <c r="B2403" s="37" t="n">
        <v>1749.40856933594</v>
      </c>
    </row>
    <row r="2404" customFormat="false" ht="15" hidden="false" customHeight="false" outlineLevel="0" collapsed="false">
      <c r="A2404" s="148" t="n">
        <v>42796</v>
      </c>
      <c r="B2404" s="37" t="n">
        <v>1759.4052734375</v>
      </c>
    </row>
    <row r="2405" customFormat="false" ht="15" hidden="false" customHeight="false" outlineLevel="0" collapsed="false">
      <c r="A2405" s="148" t="n">
        <v>42797</v>
      </c>
      <c r="B2405" s="37" t="n">
        <v>1750.40832519531</v>
      </c>
    </row>
    <row r="2406" customFormat="false" ht="15" hidden="false" customHeight="false" outlineLevel="0" collapsed="false">
      <c r="A2406" s="148" t="n">
        <v>42800</v>
      </c>
      <c r="B2406" s="37" t="n">
        <v>1759.4052734375</v>
      </c>
    </row>
    <row r="2407" customFormat="false" ht="15" hidden="false" customHeight="false" outlineLevel="0" collapsed="false">
      <c r="A2407" s="148" t="n">
        <v>42801</v>
      </c>
      <c r="B2407" s="37" t="n">
        <v>1749.40856933594</v>
      </c>
    </row>
    <row r="2408" customFormat="false" ht="15" hidden="false" customHeight="false" outlineLevel="0" collapsed="false">
      <c r="A2408" s="148" t="n">
        <v>42802</v>
      </c>
      <c r="B2408" s="37" t="n">
        <v>1754.40686035156</v>
      </c>
    </row>
    <row r="2409" customFormat="false" ht="15" hidden="false" customHeight="false" outlineLevel="0" collapsed="false">
      <c r="A2409" s="148" t="n">
        <v>42803</v>
      </c>
      <c r="B2409" s="37" t="n">
        <v>1754.40686035156</v>
      </c>
    </row>
    <row r="2410" customFormat="false" ht="15" hidden="false" customHeight="false" outlineLevel="0" collapsed="false">
      <c r="A2410" s="148" t="n">
        <v>42804</v>
      </c>
      <c r="B2410" s="37" t="n">
        <v>1749.40856933594</v>
      </c>
    </row>
    <row r="2411" customFormat="false" ht="15" hidden="false" customHeight="false" outlineLevel="0" collapsed="false">
      <c r="A2411" s="148" t="n">
        <v>42807</v>
      </c>
      <c r="B2411" s="37" t="n">
        <v>1760.40490722656</v>
      </c>
    </row>
    <row r="2412" customFormat="false" ht="15" hidden="false" customHeight="false" outlineLevel="0" collapsed="false">
      <c r="A2412" s="148" t="n">
        <v>42808</v>
      </c>
      <c r="B2412" s="37" t="n">
        <v>1797.39245605469</v>
      </c>
    </row>
    <row r="2413" customFormat="false" ht="15" hidden="false" customHeight="false" outlineLevel="0" collapsed="false">
      <c r="A2413" s="148" t="n">
        <v>42809</v>
      </c>
      <c r="B2413" s="37" t="n">
        <v>1789.39514160156</v>
      </c>
    </row>
    <row r="2414" customFormat="false" ht="15" hidden="false" customHeight="false" outlineLevel="0" collapsed="false">
      <c r="A2414" s="148" t="n">
        <v>42810</v>
      </c>
      <c r="B2414" s="37" t="n">
        <v>1847.37548828125</v>
      </c>
    </row>
    <row r="2415" customFormat="false" ht="15" hidden="false" customHeight="false" outlineLevel="0" collapsed="false">
      <c r="A2415" s="148" t="n">
        <v>42811</v>
      </c>
      <c r="B2415" s="37" t="n">
        <v>1848.37512207031</v>
      </c>
    </row>
    <row r="2416" customFormat="false" ht="15" hidden="false" customHeight="false" outlineLevel="0" collapsed="false">
      <c r="A2416" s="148" t="n">
        <v>42814</v>
      </c>
      <c r="B2416" s="37" t="n">
        <v>1890.36096191406</v>
      </c>
    </row>
    <row r="2417" customFormat="false" ht="15" hidden="false" customHeight="false" outlineLevel="0" collapsed="false">
      <c r="A2417" s="148" t="n">
        <v>42816</v>
      </c>
      <c r="B2417" s="37" t="n">
        <v>1887.36193847656</v>
      </c>
    </row>
    <row r="2418" customFormat="false" ht="15" hidden="false" customHeight="false" outlineLevel="0" collapsed="false">
      <c r="A2418" s="148" t="n">
        <v>42817</v>
      </c>
      <c r="B2418" s="37" t="n">
        <v>1789.39514160156</v>
      </c>
    </row>
    <row r="2419" customFormat="false" ht="15" hidden="false" customHeight="false" outlineLevel="0" collapsed="false">
      <c r="A2419" s="148" t="n">
        <v>42818</v>
      </c>
      <c r="B2419" s="37" t="n">
        <v>1779.39855957031</v>
      </c>
    </row>
    <row r="2420" customFormat="false" ht="15" hidden="false" customHeight="false" outlineLevel="0" collapsed="false">
      <c r="A2420" s="148" t="n">
        <v>42821</v>
      </c>
      <c r="B2420" s="37" t="n">
        <v>1838.37854003906</v>
      </c>
    </row>
    <row r="2421" customFormat="false" ht="15" hidden="false" customHeight="false" outlineLevel="0" collapsed="false">
      <c r="A2421" s="148" t="n">
        <v>42822</v>
      </c>
      <c r="B2421" s="37" t="n">
        <v>1819.38488769531</v>
      </c>
    </row>
    <row r="2422" customFormat="false" ht="15" hidden="false" customHeight="false" outlineLevel="0" collapsed="false">
      <c r="A2422" s="148" t="n">
        <v>42823</v>
      </c>
      <c r="B2422" s="37" t="n">
        <v>1799.39172363281</v>
      </c>
    </row>
    <row r="2423" customFormat="false" ht="15" hidden="false" customHeight="false" outlineLevel="0" collapsed="false">
      <c r="A2423" s="148" t="n">
        <v>42824</v>
      </c>
      <c r="B2423" s="37" t="n">
        <v>1799.39172363281</v>
      </c>
    </row>
    <row r="2424" customFormat="false" ht="15" hidden="false" customHeight="false" outlineLevel="0" collapsed="false">
      <c r="A2424" s="148" t="n">
        <v>42825</v>
      </c>
      <c r="B2424" s="37" t="n">
        <v>1799.39172363281</v>
      </c>
    </row>
    <row r="2425" customFormat="false" ht="15" hidden="false" customHeight="false" outlineLevel="0" collapsed="false">
      <c r="A2425" s="148" t="n">
        <v>42828</v>
      </c>
      <c r="B2425" s="37" t="n">
        <v>1799.39172363281</v>
      </c>
    </row>
    <row r="2426" customFormat="false" ht="15" hidden="false" customHeight="false" outlineLevel="0" collapsed="false">
      <c r="A2426" s="148" t="n">
        <v>42829</v>
      </c>
      <c r="B2426" s="37" t="n">
        <v>1789.39514160156</v>
      </c>
    </row>
    <row r="2427" customFormat="false" ht="15" hidden="false" customHeight="false" outlineLevel="0" collapsed="false">
      <c r="A2427" s="148" t="n">
        <v>42830</v>
      </c>
      <c r="B2427" s="37" t="n">
        <v>1779.39855957031</v>
      </c>
    </row>
    <row r="2428" customFormat="false" ht="15" hidden="false" customHeight="false" outlineLevel="0" collapsed="false">
      <c r="A2428" s="148" t="n">
        <v>42831</v>
      </c>
      <c r="B2428" s="37" t="n">
        <v>1784.39685058594</v>
      </c>
    </row>
    <row r="2429" customFormat="false" ht="15" hidden="false" customHeight="false" outlineLevel="0" collapsed="false">
      <c r="A2429" s="148" t="n">
        <v>42832</v>
      </c>
      <c r="B2429" s="37" t="n">
        <v>1774.40026855469</v>
      </c>
    </row>
    <row r="2430" customFormat="false" ht="15" hidden="false" customHeight="false" outlineLevel="0" collapsed="false">
      <c r="A2430" s="148" t="n">
        <v>42835</v>
      </c>
      <c r="B2430" s="37" t="n">
        <v>1746.40966796875</v>
      </c>
    </row>
    <row r="2431" customFormat="false" ht="15" hidden="false" customHeight="false" outlineLevel="0" collapsed="false">
      <c r="A2431" s="148" t="n">
        <v>42836</v>
      </c>
      <c r="B2431" s="37" t="n">
        <v>1749.40856933594</v>
      </c>
    </row>
    <row r="2432" customFormat="false" ht="15" hidden="false" customHeight="false" outlineLevel="0" collapsed="false">
      <c r="A2432" s="148" t="n">
        <v>42837</v>
      </c>
      <c r="B2432" s="37" t="n">
        <v>1789.39514160156</v>
      </c>
    </row>
    <row r="2433" customFormat="false" ht="15" hidden="false" customHeight="false" outlineLevel="0" collapsed="false">
      <c r="A2433" s="148" t="n">
        <v>42838</v>
      </c>
      <c r="B2433" s="37" t="n">
        <v>1699.42553710938</v>
      </c>
    </row>
    <row r="2434" customFormat="false" ht="15" hidden="false" customHeight="false" outlineLevel="0" collapsed="false">
      <c r="A2434" s="148" t="n">
        <v>42843</v>
      </c>
      <c r="B2434" s="37" t="n">
        <v>1699.42553710938</v>
      </c>
    </row>
    <row r="2435" customFormat="false" ht="15" hidden="false" customHeight="false" outlineLevel="0" collapsed="false">
      <c r="A2435" s="148" t="n">
        <v>42844</v>
      </c>
      <c r="B2435" s="37" t="n">
        <v>1699.42553710938</v>
      </c>
    </row>
    <row r="2436" customFormat="false" ht="15" hidden="false" customHeight="false" outlineLevel="0" collapsed="false">
      <c r="A2436" s="148" t="n">
        <v>42845</v>
      </c>
      <c r="B2436" s="37" t="n">
        <v>1727.416015625</v>
      </c>
    </row>
    <row r="2437" customFormat="false" ht="15" hidden="false" customHeight="false" outlineLevel="0" collapsed="false">
      <c r="A2437" s="148" t="n">
        <v>42846</v>
      </c>
      <c r="B2437" s="37" t="n">
        <v>1719.41870117188</v>
      </c>
    </row>
    <row r="2438" customFormat="false" ht="15" hidden="false" customHeight="false" outlineLevel="0" collapsed="false">
      <c r="A2438" s="148" t="n">
        <v>42849</v>
      </c>
      <c r="B2438" s="37" t="n">
        <v>1719.41870117188</v>
      </c>
    </row>
    <row r="2439" customFormat="false" ht="15" hidden="false" customHeight="false" outlineLevel="0" collapsed="false">
      <c r="A2439" s="148" t="n">
        <v>42850</v>
      </c>
      <c r="B2439" s="37" t="n">
        <v>1738.41235351563</v>
      </c>
    </row>
    <row r="2440" customFormat="false" ht="15" hidden="false" customHeight="false" outlineLevel="0" collapsed="false">
      <c r="A2440" s="148" t="n">
        <v>42851</v>
      </c>
      <c r="B2440" s="37" t="n">
        <v>1724.41711425781</v>
      </c>
    </row>
    <row r="2441" customFormat="false" ht="15" hidden="false" customHeight="false" outlineLevel="0" collapsed="false">
      <c r="A2441" s="148" t="n">
        <v>42853</v>
      </c>
      <c r="B2441" s="37" t="n">
        <v>1738.41235351563</v>
      </c>
    </row>
    <row r="2442" customFormat="false" ht="15" hidden="false" customHeight="false" outlineLevel="0" collapsed="false">
      <c r="A2442" s="148" t="n">
        <v>42856</v>
      </c>
      <c r="B2442" s="37" t="n">
        <v>1738.41235351563</v>
      </c>
    </row>
    <row r="2443" customFormat="false" ht="15" hidden="false" customHeight="false" outlineLevel="0" collapsed="false">
      <c r="A2443" s="148" t="n">
        <v>42857</v>
      </c>
      <c r="B2443" s="37" t="n">
        <v>1700.42517089844</v>
      </c>
    </row>
    <row r="2444" customFormat="false" ht="15" hidden="false" customHeight="false" outlineLevel="0" collapsed="false">
      <c r="A2444" s="148" t="n">
        <v>42858</v>
      </c>
      <c r="B2444" s="37" t="n">
        <v>1699.42553710938</v>
      </c>
    </row>
    <row r="2445" customFormat="false" ht="15" hidden="false" customHeight="false" outlineLevel="0" collapsed="false">
      <c r="A2445" s="148" t="n">
        <v>42859</v>
      </c>
      <c r="B2445" s="37" t="n">
        <v>1713.42077636719</v>
      </c>
    </row>
    <row r="2446" customFormat="false" ht="15" hidden="false" customHeight="false" outlineLevel="0" collapsed="false">
      <c r="A2446" s="148" t="n">
        <v>42860</v>
      </c>
      <c r="B2446" s="37" t="n">
        <v>1714.42041015625</v>
      </c>
    </row>
    <row r="2447" customFormat="false" ht="15" hidden="false" customHeight="false" outlineLevel="0" collapsed="false">
      <c r="A2447" s="148" t="n">
        <v>42863</v>
      </c>
      <c r="B2447" s="37" t="n">
        <v>1709.42211914063</v>
      </c>
    </row>
    <row r="2448" customFormat="false" ht="15" hidden="false" customHeight="false" outlineLevel="0" collapsed="false">
      <c r="A2448" s="148" t="n">
        <v>42864</v>
      </c>
      <c r="B2448" s="37" t="n">
        <v>1716.41979980469</v>
      </c>
    </row>
    <row r="2449" customFormat="false" ht="15" hidden="false" customHeight="false" outlineLevel="0" collapsed="false">
      <c r="A2449" s="148" t="n">
        <v>42865</v>
      </c>
      <c r="B2449" s="37" t="n">
        <v>1744.41027832031</v>
      </c>
    </row>
    <row r="2450" customFormat="false" ht="15" hidden="false" customHeight="false" outlineLevel="0" collapsed="false">
      <c r="A2450" s="148" t="n">
        <v>42866</v>
      </c>
      <c r="B2450" s="37" t="n">
        <v>1715.42016601563</v>
      </c>
    </row>
    <row r="2451" customFormat="false" ht="15" hidden="false" customHeight="false" outlineLevel="0" collapsed="false">
      <c r="A2451" s="148" t="n">
        <v>42867</v>
      </c>
      <c r="B2451" s="37" t="n">
        <v>1714.42041015625</v>
      </c>
    </row>
    <row r="2452" customFormat="false" ht="15" hidden="false" customHeight="false" outlineLevel="0" collapsed="false">
      <c r="A2452" s="148" t="n">
        <v>42870</v>
      </c>
      <c r="B2452" s="37" t="n">
        <v>1714.42041015625</v>
      </c>
    </row>
    <row r="2453" customFormat="false" ht="15" hidden="false" customHeight="false" outlineLevel="0" collapsed="false">
      <c r="A2453" s="148" t="n">
        <v>42871</v>
      </c>
      <c r="B2453" s="37" t="n">
        <v>1704.423828125</v>
      </c>
    </row>
    <row r="2454" customFormat="false" ht="15" hidden="false" customHeight="false" outlineLevel="0" collapsed="false">
      <c r="A2454" s="148" t="n">
        <v>42872</v>
      </c>
      <c r="B2454" s="37" t="n">
        <v>1700.42517089844</v>
      </c>
    </row>
    <row r="2455" customFormat="false" ht="15" hidden="false" customHeight="false" outlineLevel="0" collapsed="false">
      <c r="A2455" s="148" t="n">
        <v>42873</v>
      </c>
      <c r="B2455" s="37" t="n">
        <v>1699.42553710938</v>
      </c>
    </row>
    <row r="2456" customFormat="false" ht="15" hidden="false" customHeight="false" outlineLevel="0" collapsed="false">
      <c r="A2456" s="148" t="n">
        <v>42874</v>
      </c>
      <c r="B2456" s="37" t="n">
        <v>1699.42553710938</v>
      </c>
    </row>
    <row r="2457" customFormat="false" ht="15" hidden="false" customHeight="false" outlineLevel="0" collapsed="false">
      <c r="A2457" s="148" t="n">
        <v>42877</v>
      </c>
      <c r="B2457" s="37" t="n">
        <v>1713.42077636719</v>
      </c>
    </row>
    <row r="2458" customFormat="false" ht="15" hidden="false" customHeight="false" outlineLevel="0" collapsed="false">
      <c r="A2458" s="148" t="n">
        <v>42878</v>
      </c>
      <c r="B2458" s="37" t="n">
        <v>1749.40856933594</v>
      </c>
    </row>
    <row r="2459" customFormat="false" ht="15" hidden="false" customHeight="false" outlineLevel="0" collapsed="false">
      <c r="A2459" s="148" t="n">
        <v>42879</v>
      </c>
      <c r="B2459" s="37" t="n">
        <v>1706.42309570313</v>
      </c>
    </row>
    <row r="2460" customFormat="false" ht="15" hidden="false" customHeight="false" outlineLevel="0" collapsed="false">
      <c r="A2460" s="148" t="n">
        <v>42880</v>
      </c>
      <c r="B2460" s="37" t="n">
        <v>1699.42553710938</v>
      </c>
    </row>
    <row r="2461" customFormat="false" ht="15" hidden="false" customHeight="false" outlineLevel="0" collapsed="false">
      <c r="A2461" s="148" t="n">
        <v>42881</v>
      </c>
      <c r="B2461" s="37" t="n">
        <v>1699.42553710938</v>
      </c>
    </row>
    <row r="2462" customFormat="false" ht="15" hidden="false" customHeight="false" outlineLevel="0" collapsed="false">
      <c r="A2462" s="148" t="n">
        <v>42884</v>
      </c>
      <c r="B2462" s="37" t="n">
        <v>1699.42553710938</v>
      </c>
    </row>
    <row r="2463" customFormat="false" ht="15" hidden="false" customHeight="false" outlineLevel="0" collapsed="false">
      <c r="A2463" s="148" t="n">
        <v>42885</v>
      </c>
      <c r="B2463" s="37" t="n">
        <v>1699.42553710938</v>
      </c>
    </row>
    <row r="2464" customFormat="false" ht="15" hidden="false" customHeight="false" outlineLevel="0" collapsed="false">
      <c r="A2464" s="148" t="n">
        <v>42886</v>
      </c>
      <c r="B2464" s="37" t="n">
        <v>1723.41735839844</v>
      </c>
    </row>
    <row r="2465" customFormat="false" ht="15" hidden="false" customHeight="false" outlineLevel="0" collapsed="false">
      <c r="A2465" s="148" t="n">
        <v>42887</v>
      </c>
      <c r="B2465" s="37" t="n">
        <v>1699.42553710938</v>
      </c>
    </row>
    <row r="2466" customFormat="false" ht="15" hidden="false" customHeight="false" outlineLevel="0" collapsed="false">
      <c r="A2466" s="148" t="n">
        <v>42888</v>
      </c>
      <c r="B2466" s="37" t="n">
        <v>1699.42553710938</v>
      </c>
    </row>
    <row r="2467" customFormat="false" ht="15" hidden="false" customHeight="false" outlineLevel="0" collapsed="false">
      <c r="A2467" s="148" t="n">
        <v>42891</v>
      </c>
      <c r="B2467" s="37" t="n">
        <v>1749.40856933594</v>
      </c>
    </row>
    <row r="2468" customFormat="false" ht="15" hidden="false" customHeight="false" outlineLevel="0" collapsed="false">
      <c r="A2468" s="148" t="n">
        <v>42892</v>
      </c>
      <c r="B2468" s="37" t="n">
        <v>1749.40856933594</v>
      </c>
    </row>
    <row r="2469" customFormat="false" ht="15" hidden="false" customHeight="false" outlineLevel="0" collapsed="false">
      <c r="A2469" s="148" t="n">
        <v>42893</v>
      </c>
      <c r="B2469" s="37" t="n">
        <v>1749.40856933594</v>
      </c>
    </row>
    <row r="2470" customFormat="false" ht="15" hidden="false" customHeight="false" outlineLevel="0" collapsed="false">
      <c r="A2470" s="148" t="n">
        <v>42894</v>
      </c>
      <c r="B2470" s="37" t="n">
        <v>1749.40856933594</v>
      </c>
    </row>
    <row r="2471" customFormat="false" ht="15" hidden="false" customHeight="false" outlineLevel="0" collapsed="false">
      <c r="A2471" s="148" t="n">
        <v>42895</v>
      </c>
      <c r="B2471" s="37" t="n">
        <v>1713.42077636719</v>
      </c>
    </row>
    <row r="2472" customFormat="false" ht="15" hidden="false" customHeight="false" outlineLevel="0" collapsed="false">
      <c r="A2472" s="148" t="n">
        <v>42898</v>
      </c>
      <c r="B2472" s="37" t="n">
        <v>1711.42150878906</v>
      </c>
    </row>
    <row r="2473" customFormat="false" ht="15" hidden="false" customHeight="false" outlineLevel="0" collapsed="false">
      <c r="A2473" s="148" t="n">
        <v>42899</v>
      </c>
      <c r="B2473" s="37" t="n">
        <v>1715.42016601563</v>
      </c>
    </row>
    <row r="2474" customFormat="false" ht="15" hidden="false" customHeight="false" outlineLevel="0" collapsed="false">
      <c r="A2474" s="148" t="n">
        <v>42900</v>
      </c>
      <c r="B2474" s="37" t="n">
        <v>1715.42016601563</v>
      </c>
    </row>
    <row r="2475" customFormat="false" ht="15" hidden="false" customHeight="false" outlineLevel="0" collapsed="false">
      <c r="A2475" s="148" t="n">
        <v>42901</v>
      </c>
      <c r="B2475" s="37" t="n">
        <v>1747.40930175781</v>
      </c>
    </row>
    <row r="2476" customFormat="false" ht="15" hidden="false" customHeight="false" outlineLevel="0" collapsed="false">
      <c r="A2476" s="148" t="n">
        <v>42902</v>
      </c>
      <c r="B2476" s="37" t="n">
        <v>1747.40930175781</v>
      </c>
    </row>
    <row r="2477" customFormat="false" ht="15" hidden="false" customHeight="false" outlineLevel="0" collapsed="false">
      <c r="A2477" s="148" t="n">
        <v>42905</v>
      </c>
      <c r="B2477" s="37" t="n">
        <v>1714.42041015625</v>
      </c>
    </row>
    <row r="2478" customFormat="false" ht="15" hidden="false" customHeight="false" outlineLevel="0" collapsed="false">
      <c r="A2478" s="148" t="n">
        <v>42906</v>
      </c>
      <c r="B2478" s="37" t="n">
        <v>1719.41870117188</v>
      </c>
    </row>
    <row r="2479" customFormat="false" ht="15" hidden="false" customHeight="false" outlineLevel="0" collapsed="false">
      <c r="A2479" s="148" t="n">
        <v>42907</v>
      </c>
      <c r="B2479" s="37" t="n">
        <v>1723.41735839844</v>
      </c>
    </row>
    <row r="2480" customFormat="false" ht="15" hidden="false" customHeight="false" outlineLevel="0" collapsed="false">
      <c r="A2480" s="148" t="n">
        <v>42908</v>
      </c>
      <c r="B2480" s="37" t="n">
        <v>1699.42553710938</v>
      </c>
    </row>
    <row r="2481" customFormat="false" ht="15" hidden="false" customHeight="false" outlineLevel="0" collapsed="false">
      <c r="A2481" s="148" t="n">
        <v>42909</v>
      </c>
      <c r="B2481" s="37" t="n">
        <v>1784.39685058594</v>
      </c>
    </row>
    <row r="2482" customFormat="false" ht="15" hidden="false" customHeight="false" outlineLevel="0" collapsed="false">
      <c r="A2482" s="148" t="n">
        <v>42912</v>
      </c>
      <c r="B2482" s="37" t="n">
        <v>1769.40185546875</v>
      </c>
    </row>
    <row r="2483" customFormat="false" ht="15" hidden="false" customHeight="false" outlineLevel="0" collapsed="false">
      <c r="A2483" s="148" t="n">
        <v>42913</v>
      </c>
      <c r="B2483" s="37" t="n">
        <v>1779.39855957031</v>
      </c>
    </row>
    <row r="2484" customFormat="false" ht="15" hidden="false" customHeight="false" outlineLevel="0" collapsed="false">
      <c r="A2484" s="148" t="n">
        <v>42914</v>
      </c>
      <c r="B2484" s="37" t="n">
        <v>1784.39685058594</v>
      </c>
    </row>
    <row r="2485" customFormat="false" ht="15" hidden="false" customHeight="false" outlineLevel="0" collapsed="false">
      <c r="A2485" s="148" t="n">
        <v>42915</v>
      </c>
      <c r="B2485" s="37" t="n">
        <v>1784.39685058594</v>
      </c>
    </row>
    <row r="2486" customFormat="false" ht="15" hidden="false" customHeight="false" outlineLevel="0" collapsed="false">
      <c r="A2486" s="148" t="n">
        <v>42916</v>
      </c>
      <c r="B2486" s="37" t="n">
        <v>1789.39514160156</v>
      </c>
    </row>
    <row r="2487" customFormat="false" ht="15" hidden="false" customHeight="false" outlineLevel="0" collapsed="false">
      <c r="A2487" s="148" t="n">
        <v>42919</v>
      </c>
      <c r="B2487" s="37" t="n">
        <v>1709.42211914063</v>
      </c>
    </row>
    <row r="2488" customFormat="false" ht="15" hidden="false" customHeight="false" outlineLevel="0" collapsed="false">
      <c r="A2488" s="148" t="n">
        <v>42920</v>
      </c>
      <c r="B2488" s="37" t="n">
        <v>1748.40893554688</v>
      </c>
    </row>
    <row r="2489" customFormat="false" ht="15" hidden="false" customHeight="false" outlineLevel="0" collapsed="false">
      <c r="A2489" s="148" t="n">
        <v>42921</v>
      </c>
      <c r="B2489" s="37" t="n">
        <v>1769.40185546875</v>
      </c>
    </row>
    <row r="2490" customFormat="false" ht="15" hidden="false" customHeight="false" outlineLevel="0" collapsed="false">
      <c r="A2490" s="148" t="n">
        <v>42922</v>
      </c>
      <c r="B2490" s="37" t="n">
        <v>1749.40856933594</v>
      </c>
    </row>
    <row r="2491" customFormat="false" ht="15" hidden="false" customHeight="false" outlineLevel="0" collapsed="false">
      <c r="A2491" s="148" t="n">
        <v>42923</v>
      </c>
      <c r="B2491" s="37" t="n">
        <v>1724.41711425781</v>
      </c>
    </row>
    <row r="2492" customFormat="false" ht="15" hidden="false" customHeight="false" outlineLevel="0" collapsed="false">
      <c r="A2492" s="148" t="n">
        <v>42926</v>
      </c>
      <c r="B2492" s="37" t="n">
        <v>1714.42041015625</v>
      </c>
    </row>
    <row r="2493" customFormat="false" ht="15" hidden="false" customHeight="false" outlineLevel="0" collapsed="false">
      <c r="A2493" s="148" t="n">
        <v>42927</v>
      </c>
      <c r="B2493" s="37" t="n">
        <v>1704.423828125</v>
      </c>
    </row>
    <row r="2494" customFormat="false" ht="15" hidden="false" customHeight="false" outlineLevel="0" collapsed="false">
      <c r="A2494" s="148" t="n">
        <v>42928</v>
      </c>
      <c r="B2494" s="37" t="n">
        <v>1723.41735839844</v>
      </c>
    </row>
    <row r="2495" customFormat="false" ht="15" hidden="false" customHeight="false" outlineLevel="0" collapsed="false">
      <c r="A2495" s="148" t="n">
        <v>42929</v>
      </c>
      <c r="B2495" s="37" t="n">
        <v>1684.4306640625</v>
      </c>
    </row>
    <row r="2496" customFormat="false" ht="15" hidden="false" customHeight="false" outlineLevel="0" collapsed="false">
      <c r="A2496" s="148" t="n">
        <v>42930</v>
      </c>
      <c r="B2496" s="37" t="n">
        <v>1679.43225097656</v>
      </c>
    </row>
    <row r="2497" customFormat="false" ht="15" hidden="false" customHeight="false" outlineLevel="0" collapsed="false">
      <c r="A2497" s="148" t="n">
        <v>42933</v>
      </c>
      <c r="B2497" s="37" t="n">
        <v>1701.4248046875</v>
      </c>
    </row>
    <row r="2498" customFormat="false" ht="15" hidden="false" customHeight="false" outlineLevel="0" collapsed="false">
      <c r="A2498" s="148" t="n">
        <v>42934</v>
      </c>
      <c r="B2498" s="37" t="n">
        <v>1673.43432617188</v>
      </c>
    </row>
    <row r="2499" customFormat="false" ht="15" hidden="false" customHeight="false" outlineLevel="0" collapsed="false">
      <c r="A2499" s="148" t="n">
        <v>42935</v>
      </c>
      <c r="B2499" s="37" t="n">
        <v>1680.43188476563</v>
      </c>
    </row>
    <row r="2500" customFormat="false" ht="15" hidden="false" customHeight="false" outlineLevel="0" collapsed="false">
      <c r="A2500" s="148" t="n">
        <v>42936</v>
      </c>
      <c r="B2500" s="37" t="n">
        <v>1640.44555664063</v>
      </c>
    </row>
    <row r="2501" customFormat="false" ht="15" hidden="false" customHeight="false" outlineLevel="0" collapsed="false">
      <c r="A2501" s="148" t="n">
        <v>42937</v>
      </c>
      <c r="B2501" s="37" t="n">
        <v>1677.43286132813</v>
      </c>
    </row>
    <row r="2502" customFormat="false" ht="15" hidden="false" customHeight="false" outlineLevel="0" collapsed="false">
      <c r="A2502" s="148" t="n">
        <v>42940</v>
      </c>
      <c r="B2502" s="37" t="n">
        <v>1664.43725585938</v>
      </c>
    </row>
    <row r="2503" customFormat="false" ht="15" hidden="false" customHeight="false" outlineLevel="0" collapsed="false">
      <c r="A2503" s="148" t="n">
        <v>42941</v>
      </c>
      <c r="B2503" s="37" t="n">
        <v>1661.43835449219</v>
      </c>
    </row>
    <row r="2504" customFormat="false" ht="15" hidden="false" customHeight="false" outlineLevel="0" collapsed="false">
      <c r="A2504" s="148" t="n">
        <v>42942</v>
      </c>
      <c r="B2504" s="37" t="n">
        <v>1653.44116210938</v>
      </c>
    </row>
    <row r="2505" customFormat="false" ht="15" hidden="false" customHeight="false" outlineLevel="0" collapsed="false">
      <c r="A2505" s="148" t="n">
        <v>42943</v>
      </c>
      <c r="B2505" s="37" t="n">
        <v>1653.44116210938</v>
      </c>
    </row>
    <row r="2506" customFormat="false" ht="15" hidden="false" customHeight="false" outlineLevel="0" collapsed="false">
      <c r="A2506" s="148" t="n">
        <v>42944</v>
      </c>
      <c r="B2506" s="37" t="n">
        <v>1664.43725585938</v>
      </c>
    </row>
    <row r="2507" customFormat="false" ht="15" hidden="false" customHeight="false" outlineLevel="0" collapsed="false">
      <c r="A2507" s="148" t="n">
        <v>42947</v>
      </c>
      <c r="B2507" s="37" t="n">
        <v>1664.43725585938</v>
      </c>
    </row>
    <row r="2508" customFormat="false" ht="15" hidden="false" customHeight="false" outlineLevel="0" collapsed="false">
      <c r="A2508" s="148" t="n">
        <v>42948</v>
      </c>
      <c r="B2508" s="37" t="n">
        <v>1649.4423828125</v>
      </c>
    </row>
    <row r="2509" customFormat="false" ht="15" hidden="false" customHeight="false" outlineLevel="0" collapsed="false">
      <c r="A2509" s="148" t="n">
        <v>42949</v>
      </c>
      <c r="B2509" s="37" t="n">
        <v>1643.4443359375</v>
      </c>
    </row>
    <row r="2510" customFormat="false" ht="15" hidden="false" customHeight="false" outlineLevel="0" collapsed="false">
      <c r="A2510" s="148" t="n">
        <v>42950</v>
      </c>
      <c r="B2510" s="37" t="n">
        <v>1614.45434570313</v>
      </c>
    </row>
    <row r="2511" customFormat="false" ht="15" hidden="false" customHeight="false" outlineLevel="0" collapsed="false">
      <c r="A2511" s="148" t="n">
        <v>42951</v>
      </c>
      <c r="B2511" s="37" t="n">
        <v>1619.45263671875</v>
      </c>
    </row>
    <row r="2512" customFormat="false" ht="15" hidden="false" customHeight="false" outlineLevel="0" collapsed="false">
      <c r="A2512" s="148" t="n">
        <v>42954</v>
      </c>
      <c r="B2512" s="37" t="n">
        <v>1564.47119140625</v>
      </c>
    </row>
    <row r="2513" customFormat="false" ht="15" hidden="false" customHeight="false" outlineLevel="0" collapsed="false">
      <c r="A2513" s="148" t="n">
        <v>42955</v>
      </c>
      <c r="B2513" s="37" t="n">
        <v>1587.46337890625</v>
      </c>
    </row>
    <row r="2514" customFormat="false" ht="15" hidden="false" customHeight="false" outlineLevel="0" collapsed="false">
      <c r="A2514" s="148" t="n">
        <v>42956</v>
      </c>
      <c r="B2514" s="37" t="n">
        <v>1587.46337890625</v>
      </c>
    </row>
    <row r="2515" customFormat="false" ht="15" hidden="false" customHeight="false" outlineLevel="0" collapsed="false">
      <c r="A2515" s="148" t="n">
        <v>42957</v>
      </c>
      <c r="B2515" s="37" t="n">
        <v>1550.47583007813</v>
      </c>
    </row>
    <row r="2516" customFormat="false" ht="15" hidden="false" customHeight="false" outlineLevel="0" collapsed="false">
      <c r="A2516" s="148" t="n">
        <v>42958</v>
      </c>
      <c r="B2516" s="37" t="n">
        <v>1551.4755859375</v>
      </c>
    </row>
    <row r="2517" customFormat="false" ht="15" hidden="false" customHeight="false" outlineLevel="0" collapsed="false">
      <c r="A2517" s="148" t="n">
        <v>42961</v>
      </c>
      <c r="B2517" s="37" t="n">
        <v>1549.47619628906</v>
      </c>
    </row>
    <row r="2518" customFormat="false" ht="15" hidden="false" customHeight="false" outlineLevel="0" collapsed="false">
      <c r="A2518" s="148" t="n">
        <v>42962</v>
      </c>
      <c r="B2518" s="37" t="n">
        <v>1549.47619628906</v>
      </c>
    </row>
    <row r="2519" customFormat="false" ht="15" hidden="false" customHeight="false" outlineLevel="0" collapsed="false">
      <c r="A2519" s="148" t="n">
        <v>42963</v>
      </c>
      <c r="B2519" s="37" t="n">
        <v>1584.46435546875</v>
      </c>
    </row>
    <row r="2520" customFormat="false" ht="15" hidden="false" customHeight="false" outlineLevel="0" collapsed="false">
      <c r="A2520" s="148" t="n">
        <v>42964</v>
      </c>
      <c r="B2520" s="37" t="n">
        <v>1569.46948242188</v>
      </c>
    </row>
    <row r="2521" customFormat="false" ht="15" hidden="false" customHeight="false" outlineLevel="0" collapsed="false">
      <c r="A2521" s="148" t="n">
        <v>42965</v>
      </c>
      <c r="B2521" s="37" t="n">
        <v>1569.46948242188</v>
      </c>
    </row>
    <row r="2522" customFormat="false" ht="15" hidden="false" customHeight="false" outlineLevel="0" collapsed="false">
      <c r="A2522" s="148" t="n">
        <v>42968</v>
      </c>
      <c r="B2522" s="37" t="n">
        <v>1549.47619628906</v>
      </c>
    </row>
    <row r="2523" customFormat="false" ht="15" hidden="false" customHeight="false" outlineLevel="0" collapsed="false">
      <c r="A2523" s="148" t="n">
        <v>42969</v>
      </c>
      <c r="B2523" s="37" t="n">
        <v>1567.47009277344</v>
      </c>
    </row>
    <row r="2524" customFormat="false" ht="15" hidden="false" customHeight="false" outlineLevel="0" collapsed="false">
      <c r="A2524" s="148" t="n">
        <v>42970</v>
      </c>
      <c r="B2524" s="37" t="n">
        <v>1567.47009277344</v>
      </c>
    </row>
    <row r="2525" customFormat="false" ht="15" hidden="false" customHeight="false" outlineLevel="0" collapsed="false">
      <c r="A2525" s="148" t="n">
        <v>42971</v>
      </c>
      <c r="B2525" s="37" t="n">
        <v>1569.46948242188</v>
      </c>
    </row>
    <row r="2526" customFormat="false" ht="15" hidden="false" customHeight="false" outlineLevel="0" collapsed="false">
      <c r="A2526" s="148" t="n">
        <v>42972</v>
      </c>
      <c r="B2526" s="37" t="n">
        <v>1569.46948242188</v>
      </c>
    </row>
    <row r="2527" customFormat="false" ht="15" hidden="false" customHeight="false" outlineLevel="0" collapsed="false">
      <c r="A2527" s="148" t="n">
        <v>42975</v>
      </c>
      <c r="B2527" s="37" t="n">
        <v>1549.47619628906</v>
      </c>
    </row>
    <row r="2528" customFormat="false" ht="15" hidden="false" customHeight="false" outlineLevel="0" collapsed="false">
      <c r="A2528" s="148" t="n">
        <v>42976</v>
      </c>
      <c r="B2528" s="37" t="n">
        <v>1511.48913574219</v>
      </c>
    </row>
    <row r="2529" customFormat="false" ht="15" hidden="false" customHeight="false" outlineLevel="0" collapsed="false">
      <c r="A2529" s="148" t="n">
        <v>42977</v>
      </c>
      <c r="B2529" s="37" t="n">
        <v>1534.48132324219</v>
      </c>
    </row>
    <row r="2530" customFormat="false" ht="15" hidden="false" customHeight="false" outlineLevel="0" collapsed="false">
      <c r="A2530" s="148" t="n">
        <v>42978</v>
      </c>
      <c r="B2530" s="37" t="n">
        <v>1533.48156738281</v>
      </c>
    </row>
    <row r="2531" customFormat="false" ht="15" hidden="false" customHeight="false" outlineLevel="0" collapsed="false">
      <c r="A2531" s="148" t="n">
        <v>42979</v>
      </c>
      <c r="B2531" s="37" t="n">
        <v>1533.48156738281</v>
      </c>
    </row>
    <row r="2532" customFormat="false" ht="15" hidden="false" customHeight="false" outlineLevel="0" collapsed="false">
      <c r="A2532" s="148" t="n">
        <v>42982</v>
      </c>
      <c r="B2532" s="37" t="n">
        <v>1497.49377441406</v>
      </c>
    </row>
    <row r="2533" customFormat="false" ht="15" hidden="false" customHeight="false" outlineLevel="0" collapsed="false">
      <c r="A2533" s="148" t="n">
        <v>42983</v>
      </c>
      <c r="B2533" s="37" t="n">
        <v>1438.51379394531</v>
      </c>
    </row>
    <row r="2534" customFormat="false" ht="15" hidden="false" customHeight="false" outlineLevel="0" collapsed="false">
      <c r="A2534" s="148" t="n">
        <v>42984</v>
      </c>
      <c r="B2534" s="37" t="n">
        <v>1399.52685546875</v>
      </c>
    </row>
    <row r="2535" customFormat="false" ht="15" hidden="false" customHeight="false" outlineLevel="0" collapsed="false">
      <c r="A2535" s="148" t="n">
        <v>42985</v>
      </c>
      <c r="B2535" s="37" t="n">
        <v>1364.53869628906</v>
      </c>
    </row>
    <row r="2536" customFormat="false" ht="15" hidden="false" customHeight="false" outlineLevel="0" collapsed="false">
      <c r="A2536" s="148" t="n">
        <v>42986</v>
      </c>
      <c r="B2536" s="37" t="n">
        <v>1324.55224609375</v>
      </c>
    </row>
    <row r="2537" customFormat="false" ht="15" hidden="false" customHeight="false" outlineLevel="0" collapsed="false">
      <c r="A2537" s="148" t="n">
        <v>42989</v>
      </c>
      <c r="B2537" s="37" t="n">
        <v>1318.55419921875</v>
      </c>
    </row>
    <row r="2538" customFormat="false" ht="15" hidden="false" customHeight="false" outlineLevel="0" collapsed="false">
      <c r="A2538" s="148" t="n">
        <v>42990</v>
      </c>
      <c r="B2538" s="37" t="n">
        <v>1258.57458496094</v>
      </c>
    </row>
    <row r="2539" customFormat="false" ht="15" hidden="false" customHeight="false" outlineLevel="0" collapsed="false">
      <c r="A2539" s="148" t="n">
        <v>42991</v>
      </c>
      <c r="B2539" s="37" t="n">
        <v>1249.57763671875</v>
      </c>
    </row>
    <row r="2540" customFormat="false" ht="15" hidden="false" customHeight="false" outlineLevel="0" collapsed="false">
      <c r="A2540" s="148" t="n">
        <v>42992</v>
      </c>
      <c r="B2540" s="37" t="n">
        <v>1264.57250976563</v>
      </c>
    </row>
    <row r="2541" customFormat="false" ht="15" hidden="false" customHeight="false" outlineLevel="0" collapsed="false">
      <c r="A2541" s="148" t="n">
        <v>42993</v>
      </c>
      <c r="B2541" s="37" t="n">
        <v>1249.57763671875</v>
      </c>
    </row>
    <row r="2542" customFormat="false" ht="15" hidden="false" customHeight="false" outlineLevel="0" collapsed="false">
      <c r="A2542" s="148" t="n">
        <v>42996</v>
      </c>
      <c r="B2542" s="37" t="n">
        <v>1213.58972167969</v>
      </c>
    </row>
    <row r="2543" customFormat="false" ht="15" hidden="false" customHeight="false" outlineLevel="0" collapsed="false">
      <c r="A2543" s="148" t="n">
        <v>42997</v>
      </c>
      <c r="B2543" s="37" t="n">
        <v>1219.58776855469</v>
      </c>
    </row>
    <row r="2544" customFormat="false" ht="15" hidden="false" customHeight="false" outlineLevel="0" collapsed="false">
      <c r="A2544" s="148" t="n">
        <v>42998</v>
      </c>
      <c r="B2544" s="37" t="n">
        <v>1219.58776855469</v>
      </c>
    </row>
    <row r="2545" customFormat="false" ht="15" hidden="false" customHeight="false" outlineLevel="0" collapsed="false">
      <c r="A2545" s="148" t="n">
        <v>42999</v>
      </c>
      <c r="B2545" s="37" t="n">
        <v>1229.58435058594</v>
      </c>
    </row>
    <row r="2546" customFormat="false" ht="15" hidden="false" customHeight="false" outlineLevel="0" collapsed="false">
      <c r="A2546" s="148" t="n">
        <v>43000</v>
      </c>
      <c r="B2546" s="37" t="n">
        <v>1269.57080078125</v>
      </c>
    </row>
    <row r="2547" customFormat="false" ht="15" hidden="false" customHeight="false" outlineLevel="0" collapsed="false">
      <c r="A2547" s="148" t="n">
        <v>43003</v>
      </c>
      <c r="B2547" s="37" t="n">
        <v>1269.57080078125</v>
      </c>
    </row>
    <row r="2548" customFormat="false" ht="15" hidden="false" customHeight="false" outlineLevel="0" collapsed="false">
      <c r="A2548" s="148" t="n">
        <v>43004</v>
      </c>
      <c r="B2548" s="37" t="n">
        <v>1283.56616210938</v>
      </c>
    </row>
    <row r="2549" customFormat="false" ht="15" hidden="false" customHeight="false" outlineLevel="0" collapsed="false">
      <c r="A2549" s="148" t="n">
        <v>43005</v>
      </c>
      <c r="B2549" s="37" t="n">
        <v>1348.54418945313</v>
      </c>
    </row>
    <row r="2550" customFormat="false" ht="15" hidden="false" customHeight="false" outlineLevel="0" collapsed="false">
      <c r="A2550" s="148" t="n">
        <v>43006</v>
      </c>
      <c r="B2550" s="37" t="n">
        <v>1398.52722167969</v>
      </c>
    </row>
    <row r="2551" customFormat="false" ht="15" hidden="false" customHeight="false" outlineLevel="0" collapsed="false">
      <c r="A2551" s="148" t="n">
        <v>43007</v>
      </c>
      <c r="B2551" s="37" t="n">
        <v>1443.51208496094</v>
      </c>
    </row>
    <row r="2552" customFormat="false" ht="15" hidden="false" customHeight="false" outlineLevel="0" collapsed="false">
      <c r="A2552" s="148" t="n">
        <v>43010</v>
      </c>
      <c r="B2552" s="37" t="n">
        <v>1443.51208496094</v>
      </c>
    </row>
    <row r="2553" customFormat="false" ht="15" hidden="false" customHeight="false" outlineLevel="0" collapsed="false">
      <c r="A2553" s="148" t="n">
        <v>43011</v>
      </c>
      <c r="B2553" s="37" t="n">
        <v>1411.52282714844</v>
      </c>
    </row>
    <row r="2554" customFormat="false" ht="15" hidden="false" customHeight="false" outlineLevel="0" collapsed="false">
      <c r="A2554" s="148" t="n">
        <v>43012</v>
      </c>
      <c r="B2554" s="37" t="n">
        <v>1349.54370117188</v>
      </c>
    </row>
    <row r="2555" customFormat="false" ht="15" hidden="false" customHeight="false" outlineLevel="0" collapsed="false">
      <c r="A2555" s="148" t="n">
        <v>43013</v>
      </c>
      <c r="B2555" s="37" t="n">
        <v>1319.55395507813</v>
      </c>
    </row>
    <row r="2556" customFormat="false" ht="15" hidden="false" customHeight="false" outlineLevel="0" collapsed="false">
      <c r="A2556" s="148" t="n">
        <v>43014</v>
      </c>
      <c r="B2556" s="37" t="n">
        <v>1293.56274414063</v>
      </c>
    </row>
    <row r="2557" customFormat="false" ht="15" hidden="false" customHeight="false" outlineLevel="0" collapsed="false">
      <c r="A2557" s="148" t="n">
        <v>43017</v>
      </c>
      <c r="B2557" s="37" t="n">
        <v>1297.56127929688</v>
      </c>
    </row>
    <row r="2558" customFormat="false" ht="15" hidden="false" customHeight="false" outlineLevel="0" collapsed="false">
      <c r="A2558" s="148" t="n">
        <v>43018</v>
      </c>
      <c r="B2558" s="37" t="n">
        <v>1287.56469726563</v>
      </c>
    </row>
    <row r="2559" customFormat="false" ht="15" hidden="false" customHeight="false" outlineLevel="0" collapsed="false">
      <c r="A2559" s="148" t="n">
        <v>43019</v>
      </c>
      <c r="B2559" s="37" t="n">
        <v>1249.57763671875</v>
      </c>
    </row>
    <row r="2560" customFormat="false" ht="15" hidden="false" customHeight="false" outlineLevel="0" collapsed="false">
      <c r="A2560" s="148" t="n">
        <v>43020</v>
      </c>
      <c r="B2560" s="37" t="n">
        <v>1263.57287597656</v>
      </c>
    </row>
    <row r="2561" customFormat="false" ht="15" hidden="false" customHeight="false" outlineLevel="0" collapsed="false">
      <c r="A2561" s="148" t="n">
        <v>43021</v>
      </c>
      <c r="B2561" s="37" t="n">
        <v>1263.57287597656</v>
      </c>
    </row>
    <row r="2562" customFormat="false" ht="15" hidden="false" customHeight="false" outlineLevel="0" collapsed="false">
      <c r="A2562" s="148" t="n">
        <v>43024</v>
      </c>
      <c r="B2562" s="37" t="n">
        <v>1261.57348632813</v>
      </c>
    </row>
    <row r="2563" customFormat="false" ht="15" hidden="false" customHeight="false" outlineLevel="0" collapsed="false">
      <c r="A2563" s="148" t="n">
        <v>43025</v>
      </c>
      <c r="B2563" s="37" t="n">
        <v>1211.59045410156</v>
      </c>
    </row>
    <row r="2564" customFormat="false" ht="15" hidden="false" customHeight="false" outlineLevel="0" collapsed="false">
      <c r="A2564" s="148" t="n">
        <v>43026</v>
      </c>
      <c r="B2564" s="37" t="n">
        <v>1199.59448242188</v>
      </c>
    </row>
    <row r="2565" customFormat="false" ht="15" hidden="false" customHeight="false" outlineLevel="0" collapsed="false">
      <c r="A2565" s="148" t="n">
        <v>43027</v>
      </c>
      <c r="B2565" s="37" t="n">
        <v>1210.59069824219</v>
      </c>
    </row>
    <row r="2566" customFormat="false" ht="15" hidden="false" customHeight="false" outlineLevel="0" collapsed="false">
      <c r="A2566" s="148" t="n">
        <v>43028</v>
      </c>
      <c r="B2566" s="37" t="n">
        <v>1195.59582519531</v>
      </c>
    </row>
    <row r="2567" customFormat="false" ht="15" hidden="false" customHeight="false" outlineLevel="0" collapsed="false">
      <c r="A2567" s="148" t="n">
        <v>43031</v>
      </c>
      <c r="B2567" s="37" t="n">
        <v>1149.61145019531</v>
      </c>
    </row>
    <row r="2568" customFormat="false" ht="15" hidden="false" customHeight="false" outlineLevel="0" collapsed="false">
      <c r="A2568" s="148" t="n">
        <v>43032</v>
      </c>
      <c r="B2568" s="37" t="n">
        <v>1204.5927734375</v>
      </c>
    </row>
    <row r="2569" customFormat="false" ht="15" hidden="false" customHeight="false" outlineLevel="0" collapsed="false">
      <c r="A2569" s="148" t="n">
        <v>43033</v>
      </c>
      <c r="B2569" s="37" t="n">
        <v>1229.58435058594</v>
      </c>
    </row>
    <row r="2570" customFormat="false" ht="15" hidden="false" customHeight="false" outlineLevel="0" collapsed="false">
      <c r="A2570" s="148" t="n">
        <v>43034</v>
      </c>
      <c r="B2570" s="37" t="n">
        <v>1201.59387207031</v>
      </c>
    </row>
    <row r="2571" customFormat="false" ht="15" hidden="false" customHeight="false" outlineLevel="0" collapsed="false">
      <c r="A2571" s="148" t="n">
        <v>43035</v>
      </c>
      <c r="B2571" s="37" t="n">
        <v>1158.60827636719</v>
      </c>
    </row>
    <row r="2572" customFormat="false" ht="15" hidden="false" customHeight="false" outlineLevel="0" collapsed="false">
      <c r="A2572" s="148" t="n">
        <v>43038</v>
      </c>
      <c r="B2572" s="37" t="n">
        <v>1159.60803222656</v>
      </c>
    </row>
    <row r="2573" customFormat="false" ht="15" hidden="false" customHeight="false" outlineLevel="0" collapsed="false">
      <c r="A2573" s="148" t="n">
        <v>43039</v>
      </c>
      <c r="B2573" s="37" t="n">
        <v>1148.61169433594</v>
      </c>
    </row>
    <row r="2574" customFormat="false" ht="15" hidden="false" customHeight="false" outlineLevel="0" collapsed="false">
      <c r="A2574" s="148" t="n">
        <v>43040</v>
      </c>
      <c r="B2574" s="37" t="n">
        <v>1148.61169433594</v>
      </c>
    </row>
    <row r="2575" customFormat="false" ht="15" hidden="false" customHeight="false" outlineLevel="0" collapsed="false">
      <c r="A2575" s="148" t="n">
        <v>43041</v>
      </c>
      <c r="B2575" s="37" t="n">
        <v>1123.62023925781</v>
      </c>
    </row>
    <row r="2576" customFormat="false" ht="15" hidden="false" customHeight="false" outlineLevel="0" collapsed="false">
      <c r="A2576" s="148" t="n">
        <v>43042</v>
      </c>
      <c r="B2576" s="37" t="n">
        <v>1139.61486816406</v>
      </c>
    </row>
    <row r="2577" customFormat="false" ht="15" hidden="false" customHeight="false" outlineLevel="0" collapsed="false">
      <c r="A2577" s="148" t="n">
        <v>43045</v>
      </c>
      <c r="B2577" s="37" t="n">
        <v>1124.61975097656</v>
      </c>
    </row>
    <row r="2578" customFormat="false" ht="15" hidden="false" customHeight="false" outlineLevel="0" collapsed="false">
      <c r="A2578" s="148" t="n">
        <v>43046</v>
      </c>
      <c r="B2578" s="37" t="n">
        <v>1119.62145996094</v>
      </c>
    </row>
    <row r="2579" customFormat="false" ht="15" hidden="false" customHeight="false" outlineLevel="0" collapsed="false">
      <c r="A2579" s="148" t="n">
        <v>43047</v>
      </c>
      <c r="B2579" s="37" t="n">
        <v>1129.61804199219</v>
      </c>
    </row>
    <row r="2580" customFormat="false" ht="15" hidden="false" customHeight="false" outlineLevel="0" collapsed="false">
      <c r="A2580" s="148" t="n">
        <v>43048</v>
      </c>
      <c r="B2580" s="37" t="n">
        <v>1129.61804199219</v>
      </c>
    </row>
    <row r="2581" customFormat="false" ht="15" hidden="false" customHeight="false" outlineLevel="0" collapsed="false">
      <c r="A2581" s="148" t="n">
        <v>43049</v>
      </c>
      <c r="B2581" s="37" t="n">
        <v>1133.61682128906</v>
      </c>
    </row>
    <row r="2582" customFormat="false" ht="15" hidden="false" customHeight="false" outlineLevel="0" collapsed="false">
      <c r="A2582" s="148" t="n">
        <v>43052</v>
      </c>
      <c r="B2582" s="37" t="n">
        <v>1114.62316894531</v>
      </c>
    </row>
    <row r="2583" customFormat="false" ht="15" hidden="false" customHeight="false" outlineLevel="0" collapsed="false">
      <c r="A2583" s="148" t="n">
        <v>43053</v>
      </c>
      <c r="B2583" s="37" t="n">
        <v>1049.64514160156</v>
      </c>
    </row>
    <row r="2584" customFormat="false" ht="15" hidden="false" customHeight="false" outlineLevel="0" collapsed="false">
      <c r="A2584" s="148" t="n">
        <v>43054</v>
      </c>
      <c r="B2584" s="37" t="n">
        <v>1148.61169433594</v>
      </c>
    </row>
    <row r="2585" customFormat="false" ht="15" hidden="false" customHeight="false" outlineLevel="0" collapsed="false">
      <c r="A2585" s="148" t="n">
        <v>43055</v>
      </c>
      <c r="B2585" s="37" t="n">
        <v>1075.63635253906</v>
      </c>
    </row>
    <row r="2586" customFormat="false" ht="15" hidden="false" customHeight="false" outlineLevel="0" collapsed="false">
      <c r="A2586" s="148" t="n">
        <v>43056</v>
      </c>
      <c r="B2586" s="37" t="n">
        <v>1099.62829589844</v>
      </c>
    </row>
    <row r="2587" customFormat="false" ht="15" hidden="false" customHeight="false" outlineLevel="0" collapsed="false">
      <c r="A2587" s="148" t="n">
        <v>43059</v>
      </c>
      <c r="B2587" s="37" t="n">
        <v>1099.62829589844</v>
      </c>
    </row>
    <row r="2588" customFormat="false" ht="15" hidden="false" customHeight="false" outlineLevel="0" collapsed="false">
      <c r="A2588" s="148" t="n">
        <v>43060</v>
      </c>
      <c r="B2588" s="37" t="n">
        <v>1025.6533203125</v>
      </c>
    </row>
    <row r="2589" customFormat="false" ht="15" hidden="false" customHeight="false" outlineLevel="0" collapsed="false">
      <c r="A2589" s="148" t="n">
        <v>43061</v>
      </c>
      <c r="B2589" s="37" t="n">
        <v>1019.65533447266</v>
      </c>
    </row>
    <row r="2590" customFormat="false" ht="15" hidden="false" customHeight="false" outlineLevel="0" collapsed="false">
      <c r="A2590" s="148" t="n">
        <v>43062</v>
      </c>
      <c r="B2590" s="37" t="n">
        <v>1019.65533447266</v>
      </c>
    </row>
    <row r="2591" customFormat="false" ht="15" hidden="false" customHeight="false" outlineLevel="0" collapsed="false">
      <c r="A2591" s="148" t="n">
        <v>43063</v>
      </c>
      <c r="B2591" s="37" t="n">
        <v>1078.63537597656</v>
      </c>
    </row>
    <row r="2592" customFormat="false" ht="15" hidden="false" customHeight="false" outlineLevel="0" collapsed="false">
      <c r="A2592" s="148" t="n">
        <v>43066</v>
      </c>
      <c r="B2592" s="37" t="n">
        <v>1029.65185546875</v>
      </c>
    </row>
    <row r="2593" customFormat="false" ht="15" hidden="false" customHeight="false" outlineLevel="0" collapsed="false">
      <c r="A2593" s="148" t="n">
        <v>43067</v>
      </c>
      <c r="B2593" s="37" t="n">
        <v>1059.64184570313</v>
      </c>
    </row>
    <row r="2594" customFormat="false" ht="15" hidden="false" customHeight="false" outlineLevel="0" collapsed="false">
      <c r="A2594" s="148" t="n">
        <v>43068</v>
      </c>
      <c r="B2594" s="37" t="n">
        <v>1049.64514160156</v>
      </c>
    </row>
    <row r="2595" customFormat="false" ht="15" hidden="false" customHeight="false" outlineLevel="0" collapsed="false">
      <c r="A2595" s="148" t="n">
        <v>43069</v>
      </c>
      <c r="B2595" s="37" t="n">
        <v>1059.64184570313</v>
      </c>
    </row>
    <row r="2596" customFormat="false" ht="15" hidden="false" customHeight="false" outlineLevel="0" collapsed="false">
      <c r="A2596" s="148" t="n">
        <v>43070</v>
      </c>
      <c r="B2596" s="37" t="n">
        <v>1049.64514160156</v>
      </c>
    </row>
    <row r="2597" customFormat="false" ht="15" hidden="false" customHeight="false" outlineLevel="0" collapsed="false">
      <c r="A2597" s="148" t="n">
        <v>43073</v>
      </c>
      <c r="B2597" s="37" t="n">
        <v>1049.64514160156</v>
      </c>
    </row>
    <row r="2598" customFormat="false" ht="15" hidden="false" customHeight="false" outlineLevel="0" collapsed="false">
      <c r="A2598" s="148" t="n">
        <v>43074</v>
      </c>
      <c r="B2598" s="37" t="n">
        <v>1059.64184570313</v>
      </c>
    </row>
    <row r="2599" customFormat="false" ht="15" hidden="false" customHeight="false" outlineLevel="0" collapsed="false">
      <c r="A2599" s="148" t="n">
        <v>43075</v>
      </c>
      <c r="B2599" s="37" t="n">
        <v>1059.64184570313</v>
      </c>
    </row>
    <row r="2600" customFormat="false" ht="15" hidden="false" customHeight="false" outlineLevel="0" collapsed="false">
      <c r="A2600" s="148" t="n">
        <v>43076</v>
      </c>
      <c r="B2600" s="37" t="n">
        <v>1048.6455078125</v>
      </c>
    </row>
    <row r="2601" customFormat="false" ht="15" hidden="false" customHeight="false" outlineLevel="0" collapsed="false">
      <c r="A2601" s="148" t="n">
        <v>43077</v>
      </c>
      <c r="B2601" s="37" t="n">
        <v>1049.64514160156</v>
      </c>
    </row>
    <row r="2602" customFormat="false" ht="15" hidden="false" customHeight="false" outlineLevel="0" collapsed="false">
      <c r="A2602" s="148" t="n">
        <v>43080</v>
      </c>
      <c r="B2602" s="37" t="n">
        <v>1050.64477539063</v>
      </c>
    </row>
    <row r="2603" customFormat="false" ht="15" hidden="false" customHeight="false" outlineLevel="0" collapsed="false">
      <c r="A2603" s="148" t="n">
        <v>43081</v>
      </c>
      <c r="B2603" s="37" t="n">
        <v>1054.64343261719</v>
      </c>
    </row>
    <row r="2604" customFormat="false" ht="15" hidden="false" customHeight="false" outlineLevel="0" collapsed="false">
      <c r="A2604" s="148" t="n">
        <v>43082</v>
      </c>
      <c r="B2604" s="37" t="n">
        <v>1049.64514160156</v>
      </c>
    </row>
    <row r="2605" customFormat="false" ht="15" hidden="false" customHeight="false" outlineLevel="0" collapsed="false">
      <c r="A2605" s="148" t="n">
        <v>43083</v>
      </c>
      <c r="B2605" s="37" t="n">
        <v>1054.64343261719</v>
      </c>
    </row>
    <row r="2606" customFormat="false" ht="15" hidden="false" customHeight="false" outlineLevel="0" collapsed="false">
      <c r="A2606" s="148" t="n">
        <v>43084</v>
      </c>
      <c r="B2606" s="37" t="n">
        <v>1099.62829589844</v>
      </c>
    </row>
    <row r="2607" customFormat="false" ht="15" hidden="false" customHeight="false" outlineLevel="0" collapsed="false">
      <c r="A2607" s="148" t="n">
        <v>43087</v>
      </c>
      <c r="B2607" s="37" t="n">
        <v>1240.58056640625</v>
      </c>
    </row>
    <row r="2608" customFormat="false" ht="15" hidden="false" customHeight="false" outlineLevel="0" collapsed="false">
      <c r="A2608" s="148" t="n">
        <v>43088</v>
      </c>
      <c r="B2608" s="37" t="n">
        <v>1360.5400390625</v>
      </c>
    </row>
    <row r="2609" customFormat="false" ht="15" hidden="false" customHeight="false" outlineLevel="0" collapsed="false">
      <c r="A2609" s="148" t="n">
        <v>43089</v>
      </c>
      <c r="B2609" s="37" t="n">
        <v>1419.52014160156</v>
      </c>
    </row>
    <row r="2610" customFormat="false" ht="15" hidden="false" customHeight="false" outlineLevel="0" collapsed="false">
      <c r="A2610" s="148" t="n">
        <v>43090</v>
      </c>
      <c r="B2610" s="37" t="n">
        <v>1399.52685546875</v>
      </c>
    </row>
    <row r="2611" customFormat="false" ht="15" hidden="false" customHeight="false" outlineLevel="0" collapsed="false">
      <c r="A2611" s="148" t="n">
        <v>43091</v>
      </c>
      <c r="B2611" s="37" t="n">
        <v>1849.37487792969</v>
      </c>
    </row>
    <row r="2612" customFormat="false" ht="15" hidden="false" customHeight="false" outlineLevel="0" collapsed="false">
      <c r="A2612" s="148" t="n">
        <v>43094</v>
      </c>
      <c r="B2612" s="37" t="n">
        <v>1849.37487792969</v>
      </c>
    </row>
    <row r="2613" customFormat="false" ht="15" hidden="false" customHeight="false" outlineLevel="0" collapsed="false">
      <c r="A2613" s="148" t="n">
        <v>43095</v>
      </c>
      <c r="B2613" s="37" t="n">
        <v>1849.37487792969</v>
      </c>
    </row>
    <row r="2614" customFormat="false" ht="15" hidden="false" customHeight="false" outlineLevel="0" collapsed="false">
      <c r="A2614" s="148" t="n">
        <v>43096</v>
      </c>
      <c r="B2614" s="37" t="n">
        <v>1499.49304199219</v>
      </c>
    </row>
    <row r="2615" customFormat="false" ht="15" hidden="false" customHeight="false" outlineLevel="0" collapsed="false">
      <c r="A2615" s="148" t="n">
        <v>43097</v>
      </c>
      <c r="B2615" s="37" t="n">
        <v>1599.45922851563</v>
      </c>
    </row>
    <row r="2616" customFormat="false" ht="15" hidden="false" customHeight="false" outlineLevel="0" collapsed="false">
      <c r="A2616" s="148" t="n">
        <v>43098</v>
      </c>
      <c r="B2616" s="37" t="n">
        <v>1639.44580078125</v>
      </c>
    </row>
    <row r="2617" customFormat="false" ht="15" hidden="false" customHeight="false" outlineLevel="0" collapsed="false">
      <c r="A2617" s="148" t="n">
        <v>43102</v>
      </c>
      <c r="B2617" s="37" t="n">
        <v>1709.42211914063</v>
      </c>
    </row>
    <row r="2618" customFormat="false" ht="15" hidden="false" customHeight="false" outlineLevel="0" collapsed="false">
      <c r="A2618" s="148" t="n">
        <v>43103</v>
      </c>
      <c r="B2618" s="37" t="n">
        <v>1499.49304199219</v>
      </c>
    </row>
    <row r="2619" customFormat="false" ht="15" hidden="false" customHeight="false" outlineLevel="0" collapsed="false">
      <c r="A2619" s="148" t="n">
        <v>43104</v>
      </c>
      <c r="B2619" s="37" t="n">
        <v>1504.49133300781</v>
      </c>
    </row>
    <row r="2620" customFormat="false" ht="15" hidden="false" customHeight="false" outlineLevel="0" collapsed="false">
      <c r="A2620" s="148" t="n">
        <v>43105</v>
      </c>
      <c r="B2620" s="37" t="n">
        <v>1325.55200195313</v>
      </c>
    </row>
    <row r="2621" customFormat="false" ht="15" hidden="false" customHeight="false" outlineLevel="0" collapsed="false">
      <c r="A2621" s="148" t="n">
        <v>43108</v>
      </c>
      <c r="B2621" s="37" t="n">
        <v>1350.54345703125</v>
      </c>
    </row>
    <row r="2622" customFormat="false" ht="15" hidden="false" customHeight="false" outlineLevel="0" collapsed="false">
      <c r="A2622" s="148" t="n">
        <v>43109</v>
      </c>
      <c r="B2622" s="37" t="n">
        <v>1499.49304199219</v>
      </c>
    </row>
    <row r="2623" customFormat="false" ht="15" hidden="false" customHeight="false" outlineLevel="0" collapsed="false">
      <c r="A2623" s="148" t="n">
        <v>43110</v>
      </c>
      <c r="B2623" s="37" t="n">
        <v>1477.50061035156</v>
      </c>
    </row>
    <row r="2624" customFormat="false" ht="15" hidden="false" customHeight="false" outlineLevel="0" collapsed="false">
      <c r="A2624" s="148" t="n">
        <v>43111</v>
      </c>
      <c r="B2624" s="37" t="n">
        <v>1477.50061035156</v>
      </c>
    </row>
    <row r="2625" customFormat="false" ht="15" hidden="false" customHeight="false" outlineLevel="0" collapsed="false">
      <c r="A2625" s="148" t="n">
        <v>43112</v>
      </c>
      <c r="B2625" s="37" t="n">
        <v>1350.54345703125</v>
      </c>
    </row>
    <row r="2626" customFormat="false" ht="15" hidden="false" customHeight="false" outlineLevel="0" collapsed="false">
      <c r="A2626" s="148" t="n">
        <v>43115</v>
      </c>
      <c r="B2626" s="37" t="n">
        <v>1349.54370117188</v>
      </c>
    </row>
    <row r="2627" customFormat="false" ht="15" hidden="false" customHeight="false" outlineLevel="0" collapsed="false">
      <c r="A2627" s="148" t="n">
        <v>43116</v>
      </c>
      <c r="B2627" s="37" t="n">
        <v>1350.54345703125</v>
      </c>
    </row>
    <row r="2628" customFormat="false" ht="15" hidden="false" customHeight="false" outlineLevel="0" collapsed="false">
      <c r="A2628" s="148" t="n">
        <v>43117</v>
      </c>
      <c r="B2628" s="37" t="n">
        <v>1350.54345703125</v>
      </c>
    </row>
    <row r="2629" customFormat="false" ht="15" hidden="false" customHeight="false" outlineLevel="0" collapsed="false">
      <c r="A2629" s="148" t="n">
        <v>43118</v>
      </c>
      <c r="B2629" s="37" t="n">
        <v>1350.54345703125</v>
      </c>
    </row>
    <row r="2630" customFormat="false" ht="15" hidden="false" customHeight="false" outlineLevel="0" collapsed="false">
      <c r="A2630" s="148" t="n">
        <v>43119</v>
      </c>
      <c r="B2630" s="37" t="n">
        <v>1374.53540039063</v>
      </c>
    </row>
    <row r="2631" customFormat="false" ht="15" hidden="false" customHeight="false" outlineLevel="0" collapsed="false">
      <c r="A2631" s="148" t="n">
        <v>43122</v>
      </c>
      <c r="B2631" s="37" t="n">
        <v>1374.53540039063</v>
      </c>
    </row>
    <row r="2632" customFormat="false" ht="15" hidden="false" customHeight="false" outlineLevel="0" collapsed="false">
      <c r="A2632" s="148" t="n">
        <v>43123</v>
      </c>
      <c r="B2632" s="37" t="n">
        <v>1374.53540039063</v>
      </c>
    </row>
    <row r="2633" customFormat="false" ht="15" hidden="false" customHeight="false" outlineLevel="0" collapsed="false">
      <c r="A2633" s="148" t="n">
        <v>43124</v>
      </c>
      <c r="B2633" s="37" t="n">
        <v>1350.54345703125</v>
      </c>
    </row>
    <row r="2634" customFormat="false" ht="15" hidden="false" customHeight="false" outlineLevel="0" collapsed="false">
      <c r="A2634" s="148" t="n">
        <v>43125</v>
      </c>
      <c r="B2634" s="37" t="n">
        <v>1369.537109375</v>
      </c>
    </row>
    <row r="2635" customFormat="false" ht="15" hidden="false" customHeight="false" outlineLevel="0" collapsed="false">
      <c r="A2635" s="148" t="n">
        <v>43126</v>
      </c>
      <c r="B2635" s="37" t="n">
        <v>1349.54370117188</v>
      </c>
    </row>
    <row r="2636" customFormat="false" ht="15" hidden="false" customHeight="false" outlineLevel="0" collapsed="false">
      <c r="A2636" s="148" t="n">
        <v>43129</v>
      </c>
      <c r="B2636" s="37" t="n">
        <v>1343.5458984375</v>
      </c>
    </row>
    <row r="2637" customFormat="false" ht="15" hidden="false" customHeight="false" outlineLevel="0" collapsed="false">
      <c r="A2637" s="148" t="n">
        <v>43130</v>
      </c>
      <c r="B2637" s="37" t="n">
        <v>1300.56030273438</v>
      </c>
    </row>
    <row r="2638" customFormat="false" ht="15" hidden="false" customHeight="false" outlineLevel="0" collapsed="false">
      <c r="A2638" s="148" t="n">
        <v>43131</v>
      </c>
      <c r="B2638" s="37" t="n">
        <v>1309.55737304688</v>
      </c>
    </row>
    <row r="2639" customFormat="false" ht="15" hidden="false" customHeight="false" outlineLevel="0" collapsed="false">
      <c r="A2639" s="148" t="n">
        <v>43132</v>
      </c>
      <c r="B2639" s="37" t="n">
        <v>1309.55737304688</v>
      </c>
    </row>
    <row r="2640" customFormat="false" ht="15" hidden="false" customHeight="false" outlineLevel="0" collapsed="false">
      <c r="A2640" s="148" t="n">
        <v>43133</v>
      </c>
      <c r="B2640" s="37" t="n">
        <v>1297.56127929688</v>
      </c>
    </row>
    <row r="2641" customFormat="false" ht="15" hidden="false" customHeight="false" outlineLevel="0" collapsed="false">
      <c r="A2641" s="148" t="n">
        <v>43136</v>
      </c>
      <c r="B2641" s="37" t="n">
        <v>1211.59045410156</v>
      </c>
    </row>
    <row r="2642" customFormat="false" ht="15" hidden="false" customHeight="false" outlineLevel="0" collapsed="false">
      <c r="A2642" s="148" t="n">
        <v>43137</v>
      </c>
      <c r="B2642" s="37" t="n">
        <v>1220.58740234375</v>
      </c>
    </row>
    <row r="2643" customFormat="false" ht="15" hidden="false" customHeight="false" outlineLevel="0" collapsed="false">
      <c r="A2643" s="148" t="n">
        <v>43138</v>
      </c>
      <c r="B2643" s="37" t="n">
        <v>1279.5673828125</v>
      </c>
    </row>
    <row r="2644" customFormat="false" ht="15" hidden="false" customHeight="false" outlineLevel="0" collapsed="false">
      <c r="A2644" s="148" t="n">
        <v>43139</v>
      </c>
      <c r="B2644" s="37" t="n">
        <v>1219.58776855469</v>
      </c>
    </row>
    <row r="2645" customFormat="false" ht="15" hidden="false" customHeight="false" outlineLevel="0" collapsed="false">
      <c r="A2645" s="148" t="n">
        <v>43140</v>
      </c>
      <c r="B2645" s="37" t="n">
        <v>1210.59069824219</v>
      </c>
    </row>
    <row r="2646" customFormat="false" ht="15" hidden="false" customHeight="false" outlineLevel="0" collapsed="false">
      <c r="A2646" s="148" t="n">
        <v>43143</v>
      </c>
      <c r="B2646" s="37" t="n">
        <v>1199.59448242188</v>
      </c>
    </row>
    <row r="2647" customFormat="false" ht="15" hidden="false" customHeight="false" outlineLevel="0" collapsed="false">
      <c r="A2647" s="148" t="n">
        <v>43144</v>
      </c>
      <c r="B2647" s="37" t="n">
        <v>1052.64416503906</v>
      </c>
    </row>
    <row r="2648" customFormat="false" ht="15" hidden="false" customHeight="false" outlineLevel="0" collapsed="false">
      <c r="A2648" s="148" t="n">
        <v>43145</v>
      </c>
      <c r="B2648" s="37" t="n">
        <v>1348.54418945313</v>
      </c>
    </row>
    <row r="2649" customFormat="false" ht="15" hidden="false" customHeight="false" outlineLevel="0" collapsed="false">
      <c r="A2649" s="148" t="n">
        <v>43146</v>
      </c>
      <c r="B2649" s="37" t="n">
        <v>1209.59106445313</v>
      </c>
    </row>
    <row r="2650" customFormat="false" ht="15" hidden="false" customHeight="false" outlineLevel="0" collapsed="false">
      <c r="A2650" s="148" t="n">
        <v>43147</v>
      </c>
      <c r="B2650" s="37" t="n">
        <v>1189.59777832031</v>
      </c>
    </row>
    <row r="2651" customFormat="false" ht="15" hidden="false" customHeight="false" outlineLevel="0" collapsed="false">
      <c r="A2651" s="148" t="n">
        <v>43150</v>
      </c>
      <c r="B2651" s="37" t="n">
        <v>1199.59448242188</v>
      </c>
    </row>
    <row r="2652" customFormat="false" ht="15" hidden="false" customHeight="false" outlineLevel="0" collapsed="false">
      <c r="A2652" s="148" t="n">
        <v>43151</v>
      </c>
      <c r="B2652" s="37" t="n">
        <v>1164.60632324219</v>
      </c>
    </row>
    <row r="2653" customFormat="false" ht="15" hidden="false" customHeight="false" outlineLevel="0" collapsed="false">
      <c r="A2653" s="148" t="n">
        <v>43152</v>
      </c>
      <c r="B2653" s="37" t="n">
        <v>1149.61145019531</v>
      </c>
    </row>
    <row r="2654" customFormat="false" ht="15" hidden="false" customHeight="false" outlineLevel="0" collapsed="false">
      <c r="A2654" s="148" t="n">
        <v>43153</v>
      </c>
      <c r="B2654" s="37" t="n">
        <v>1199.59448242188</v>
      </c>
    </row>
    <row r="2655" customFormat="false" ht="15" hidden="false" customHeight="false" outlineLevel="0" collapsed="false">
      <c r="A2655" s="148" t="n">
        <v>43154</v>
      </c>
      <c r="B2655" s="37" t="n">
        <v>1349.54370117188</v>
      </c>
    </row>
    <row r="2656" customFormat="false" ht="15" hidden="false" customHeight="false" outlineLevel="0" collapsed="false">
      <c r="A2656" s="148" t="n">
        <v>43157</v>
      </c>
      <c r="B2656" s="37" t="n">
        <v>1201.59387207031</v>
      </c>
    </row>
    <row r="2657" customFormat="false" ht="15" hidden="false" customHeight="false" outlineLevel="0" collapsed="false">
      <c r="A2657" s="148" t="n">
        <v>43158</v>
      </c>
      <c r="B2657" s="37" t="n">
        <v>1248.57788085938</v>
      </c>
    </row>
    <row r="2658" customFormat="false" ht="15" hidden="false" customHeight="false" outlineLevel="0" collapsed="false">
      <c r="A2658" s="148" t="n">
        <v>43159</v>
      </c>
      <c r="B2658" s="37" t="n">
        <v>1241.58032226563</v>
      </c>
    </row>
    <row r="2659" customFormat="false" ht="15" hidden="false" customHeight="false" outlineLevel="0" collapsed="false">
      <c r="A2659" s="148" t="n">
        <v>43160</v>
      </c>
      <c r="B2659" s="37" t="n">
        <v>1243.57958984375</v>
      </c>
    </row>
    <row r="2660" customFormat="false" ht="15" hidden="false" customHeight="false" outlineLevel="0" collapsed="false">
      <c r="A2660" s="148" t="n">
        <v>43161</v>
      </c>
      <c r="B2660" s="37" t="n">
        <v>1244.57934570313</v>
      </c>
    </row>
    <row r="2661" customFormat="false" ht="15" hidden="false" customHeight="false" outlineLevel="0" collapsed="false">
      <c r="A2661" s="148" t="n">
        <v>43164</v>
      </c>
      <c r="B2661" s="37" t="n">
        <v>1209.59106445313</v>
      </c>
    </row>
    <row r="2662" customFormat="false" ht="15" hidden="false" customHeight="false" outlineLevel="0" collapsed="false">
      <c r="A2662" s="148" t="n">
        <v>43165</v>
      </c>
      <c r="B2662" s="37" t="n">
        <v>1244.57934570313</v>
      </c>
    </row>
    <row r="2663" customFormat="false" ht="15" hidden="false" customHeight="false" outlineLevel="0" collapsed="false">
      <c r="A2663" s="148" t="n">
        <v>43166</v>
      </c>
      <c r="B2663" s="37" t="n">
        <v>1244.57934570313</v>
      </c>
    </row>
    <row r="2664" customFormat="false" ht="15" hidden="false" customHeight="false" outlineLevel="0" collapsed="false">
      <c r="A2664" s="148" t="n">
        <v>43167</v>
      </c>
      <c r="B2664" s="37" t="n">
        <v>1239.58093261719</v>
      </c>
    </row>
    <row r="2665" customFormat="false" ht="15" hidden="false" customHeight="false" outlineLevel="0" collapsed="false">
      <c r="A2665" s="148" t="n">
        <v>43168</v>
      </c>
      <c r="B2665" s="37" t="n">
        <v>1244.57934570313</v>
      </c>
    </row>
    <row r="2666" customFormat="false" ht="15" hidden="false" customHeight="false" outlineLevel="0" collapsed="false">
      <c r="A2666" s="148" t="n">
        <v>43171</v>
      </c>
      <c r="B2666" s="37" t="n">
        <v>1244.57934570313</v>
      </c>
    </row>
    <row r="2667" customFormat="false" ht="15" hidden="false" customHeight="false" outlineLevel="0" collapsed="false">
      <c r="A2667" s="148" t="n">
        <v>43172</v>
      </c>
      <c r="B2667" s="37" t="n">
        <v>1244.57934570313</v>
      </c>
    </row>
    <row r="2668" customFormat="false" ht="15" hidden="false" customHeight="false" outlineLevel="0" collapsed="false">
      <c r="A2668" s="148" t="n">
        <v>43173</v>
      </c>
      <c r="B2668" s="37" t="n">
        <v>1337.5478515625</v>
      </c>
    </row>
    <row r="2669" customFormat="false" ht="15" hidden="false" customHeight="false" outlineLevel="0" collapsed="false">
      <c r="A2669" s="148" t="n">
        <v>43174</v>
      </c>
      <c r="B2669" s="37" t="n">
        <v>1348.54418945313</v>
      </c>
    </row>
    <row r="2670" customFormat="false" ht="15" hidden="false" customHeight="false" outlineLevel="0" collapsed="false">
      <c r="A2670" s="148" t="n">
        <v>43175</v>
      </c>
      <c r="B2670" s="37" t="n">
        <v>1488.49682617188</v>
      </c>
    </row>
    <row r="2671" customFormat="false" ht="15" hidden="false" customHeight="false" outlineLevel="0" collapsed="false">
      <c r="A2671" s="148" t="n">
        <v>43178</v>
      </c>
      <c r="B2671" s="37" t="n">
        <v>1349.54370117188</v>
      </c>
    </row>
    <row r="2672" customFormat="false" ht="15" hidden="false" customHeight="false" outlineLevel="0" collapsed="false">
      <c r="A2672" s="148" t="n">
        <v>43179</v>
      </c>
      <c r="B2672" s="37" t="n">
        <v>1348.54418945313</v>
      </c>
    </row>
    <row r="2673" customFormat="false" ht="15" hidden="false" customHeight="false" outlineLevel="0" collapsed="false">
      <c r="A2673" s="148" t="n">
        <v>43181</v>
      </c>
      <c r="B2673" s="37" t="n">
        <v>1348.54418945313</v>
      </c>
    </row>
    <row r="2674" customFormat="false" ht="15" hidden="false" customHeight="false" outlineLevel="0" collapsed="false">
      <c r="A2674" s="148" t="n">
        <v>43182</v>
      </c>
      <c r="B2674" s="37" t="n">
        <v>1339.54711914063</v>
      </c>
    </row>
    <row r="2675" customFormat="false" ht="15" hidden="false" customHeight="false" outlineLevel="0" collapsed="false">
      <c r="A2675" s="148" t="n">
        <v>43185</v>
      </c>
      <c r="B2675" s="37" t="n">
        <v>1349.54370117188</v>
      </c>
    </row>
    <row r="2676" customFormat="false" ht="15" hidden="false" customHeight="false" outlineLevel="0" collapsed="false">
      <c r="A2676" s="148" t="n">
        <v>43186</v>
      </c>
      <c r="B2676" s="37" t="n">
        <v>1348.54418945313</v>
      </c>
    </row>
    <row r="2677" customFormat="false" ht="15" hidden="false" customHeight="false" outlineLevel="0" collapsed="false">
      <c r="A2677" s="148" t="n">
        <v>43187</v>
      </c>
      <c r="B2677" s="37" t="n">
        <v>1374.53540039063</v>
      </c>
    </row>
    <row r="2678" customFormat="false" ht="15" hidden="false" customHeight="false" outlineLevel="0" collapsed="false">
      <c r="A2678" s="148" t="n">
        <v>43188</v>
      </c>
      <c r="B2678" s="37" t="n">
        <v>1399.52685546875</v>
      </c>
    </row>
    <row r="2679" customFormat="false" ht="15" hidden="false" customHeight="false" outlineLevel="0" collapsed="false">
      <c r="A2679" s="148" t="n">
        <v>43193</v>
      </c>
      <c r="B2679" s="37" t="n">
        <v>1349.54370117188</v>
      </c>
    </row>
    <row r="2680" customFormat="false" ht="15" hidden="false" customHeight="false" outlineLevel="0" collapsed="false">
      <c r="A2680" s="148" t="n">
        <v>43194</v>
      </c>
      <c r="B2680" s="37" t="n">
        <v>1349.54370117188</v>
      </c>
    </row>
    <row r="2681" customFormat="false" ht="15" hidden="false" customHeight="false" outlineLevel="0" collapsed="false">
      <c r="A2681" s="148" t="n">
        <v>43195</v>
      </c>
      <c r="B2681" s="37" t="n">
        <v>1348.54418945313</v>
      </c>
    </row>
    <row r="2682" customFormat="false" ht="15" hidden="false" customHeight="false" outlineLevel="0" collapsed="false">
      <c r="A2682" s="148" t="n">
        <v>43196</v>
      </c>
      <c r="B2682" s="37" t="n">
        <v>1349.54370117188</v>
      </c>
    </row>
    <row r="2683" customFormat="false" ht="15" hidden="false" customHeight="false" outlineLevel="0" collapsed="false">
      <c r="A2683" s="148" t="n">
        <v>43199</v>
      </c>
      <c r="B2683" s="37" t="n">
        <v>1251.57690429688</v>
      </c>
    </row>
    <row r="2684" customFormat="false" ht="15" hidden="false" customHeight="false" outlineLevel="0" collapsed="false">
      <c r="A2684" s="148" t="n">
        <v>43200</v>
      </c>
      <c r="B2684" s="37" t="n">
        <v>1324.55224609375</v>
      </c>
    </row>
    <row r="2685" customFormat="false" ht="15" hidden="false" customHeight="false" outlineLevel="0" collapsed="false">
      <c r="A2685" s="148" t="n">
        <v>43201</v>
      </c>
      <c r="B2685" s="37" t="n">
        <v>1299.56079101563</v>
      </c>
    </row>
    <row r="2686" customFormat="false" ht="15" hidden="false" customHeight="false" outlineLevel="0" collapsed="false">
      <c r="A2686" s="148" t="n">
        <v>43202</v>
      </c>
      <c r="B2686" s="37" t="n">
        <v>1298.56103515625</v>
      </c>
    </row>
    <row r="2687" customFormat="false" ht="15" hidden="false" customHeight="false" outlineLevel="0" collapsed="false">
      <c r="A2687" s="148" t="n">
        <v>43203</v>
      </c>
      <c r="B2687" s="37" t="n">
        <v>1298.56103515625</v>
      </c>
    </row>
    <row r="2688" customFormat="false" ht="15" hidden="false" customHeight="false" outlineLevel="0" collapsed="false">
      <c r="A2688" s="148" t="n">
        <v>43206</v>
      </c>
      <c r="B2688" s="37" t="n">
        <v>1298.56103515625</v>
      </c>
    </row>
    <row r="2689" customFormat="false" ht="15" hidden="false" customHeight="false" outlineLevel="0" collapsed="false">
      <c r="A2689" s="148" t="n">
        <v>43207</v>
      </c>
      <c r="B2689" s="37" t="n">
        <v>1199.59448242188</v>
      </c>
    </row>
    <row r="2690" customFormat="false" ht="15" hidden="false" customHeight="false" outlineLevel="0" collapsed="false">
      <c r="A2690" s="148" t="n">
        <v>43208</v>
      </c>
      <c r="B2690" s="37" t="n">
        <v>1199.59448242188</v>
      </c>
    </row>
    <row r="2691" customFormat="false" ht="15" hidden="false" customHeight="false" outlineLevel="0" collapsed="false">
      <c r="A2691" s="148" t="n">
        <v>43209</v>
      </c>
      <c r="B2691" s="37" t="n">
        <v>1199.59448242188</v>
      </c>
    </row>
    <row r="2692" customFormat="false" ht="15" hidden="false" customHeight="false" outlineLevel="0" collapsed="false">
      <c r="A2692" s="148" t="n">
        <v>43210</v>
      </c>
      <c r="B2692" s="37" t="n">
        <v>1199.59448242188</v>
      </c>
    </row>
    <row r="2693" customFormat="false" ht="15" hidden="false" customHeight="false" outlineLevel="0" collapsed="false">
      <c r="A2693" s="148" t="n">
        <v>43213</v>
      </c>
      <c r="B2693" s="37" t="n">
        <v>1233.5830078125</v>
      </c>
    </row>
    <row r="2694" customFormat="false" ht="15" hidden="false" customHeight="false" outlineLevel="0" collapsed="false">
      <c r="A2694" s="148" t="n">
        <v>43214</v>
      </c>
      <c r="B2694" s="37" t="n">
        <v>1299.56079101563</v>
      </c>
    </row>
    <row r="2695" customFormat="false" ht="15" hidden="false" customHeight="false" outlineLevel="0" collapsed="false">
      <c r="A2695" s="148" t="n">
        <v>43215</v>
      </c>
      <c r="B2695" s="37" t="n">
        <v>1399.52685546875</v>
      </c>
    </row>
    <row r="2696" customFormat="false" ht="15" hidden="false" customHeight="false" outlineLevel="0" collapsed="false">
      <c r="A2696" s="148" t="n">
        <v>43216</v>
      </c>
      <c r="B2696" s="37" t="n">
        <v>1398.52722167969</v>
      </c>
    </row>
    <row r="2697" customFormat="false" ht="15" hidden="false" customHeight="false" outlineLevel="0" collapsed="false">
      <c r="A2697" s="148" t="n">
        <v>43220</v>
      </c>
      <c r="B2697" s="37" t="n">
        <v>1399.52685546875</v>
      </c>
    </row>
    <row r="2698" customFormat="false" ht="15" hidden="false" customHeight="false" outlineLevel="0" collapsed="false">
      <c r="A2698" s="148" t="n">
        <v>43222</v>
      </c>
      <c r="B2698" s="37" t="n">
        <v>1399.52685546875</v>
      </c>
    </row>
    <row r="2699" customFormat="false" ht="15" hidden="false" customHeight="false" outlineLevel="0" collapsed="false">
      <c r="A2699" s="148" t="n">
        <v>43223</v>
      </c>
      <c r="B2699" s="37" t="n">
        <v>1399.52685546875</v>
      </c>
    </row>
    <row r="2700" customFormat="false" ht="15" hidden="false" customHeight="false" outlineLevel="0" collapsed="false">
      <c r="A2700" s="148" t="n">
        <v>43224</v>
      </c>
      <c r="B2700" s="37" t="n">
        <v>1399.52685546875</v>
      </c>
    </row>
    <row r="2701" customFormat="false" ht="15" hidden="false" customHeight="false" outlineLevel="0" collapsed="false">
      <c r="A2701" s="148" t="n">
        <v>43227</v>
      </c>
      <c r="B2701" s="37" t="n">
        <v>1249.57763671875</v>
      </c>
    </row>
    <row r="2702" customFormat="false" ht="15" hidden="false" customHeight="false" outlineLevel="0" collapsed="false">
      <c r="A2702" s="148" t="n">
        <v>43228</v>
      </c>
      <c r="B2702" s="37" t="n">
        <v>1499.49304199219</v>
      </c>
    </row>
    <row r="2703" customFormat="false" ht="15" hidden="false" customHeight="false" outlineLevel="0" collapsed="false">
      <c r="A2703" s="148" t="n">
        <v>43229</v>
      </c>
      <c r="B2703" s="37" t="n">
        <v>1444.51159667969</v>
      </c>
    </row>
    <row r="2704" customFormat="false" ht="15" hidden="false" customHeight="false" outlineLevel="0" collapsed="false">
      <c r="A2704" s="148" t="n">
        <v>43230</v>
      </c>
      <c r="B2704" s="37" t="n">
        <v>1404.52526855469</v>
      </c>
    </row>
    <row r="2705" customFormat="false" ht="15" hidden="false" customHeight="false" outlineLevel="0" collapsed="false">
      <c r="A2705" s="148" t="n">
        <v>43231</v>
      </c>
      <c r="B2705" s="37" t="n">
        <v>1399.52685546875</v>
      </c>
    </row>
    <row r="2706" customFormat="false" ht="15" hidden="false" customHeight="false" outlineLevel="0" collapsed="false">
      <c r="A2706" s="148" t="n">
        <v>43234</v>
      </c>
      <c r="B2706" s="37" t="n">
        <v>1439.51330566406</v>
      </c>
    </row>
    <row r="2707" customFormat="false" ht="15" hidden="false" customHeight="false" outlineLevel="0" collapsed="false">
      <c r="A2707" s="148" t="n">
        <v>43235</v>
      </c>
      <c r="B2707" s="37" t="n">
        <v>1494.49475097656</v>
      </c>
    </row>
    <row r="2708" customFormat="false" ht="15" hidden="false" customHeight="false" outlineLevel="0" collapsed="false">
      <c r="A2708" s="148" t="n">
        <v>43236</v>
      </c>
      <c r="B2708" s="37" t="n">
        <v>1440.51306152344</v>
      </c>
    </row>
    <row r="2709" customFormat="false" ht="15" hidden="false" customHeight="false" outlineLevel="0" collapsed="false">
      <c r="A2709" s="148" t="n">
        <v>43237</v>
      </c>
      <c r="B2709" s="37" t="n">
        <v>1459.50671386719</v>
      </c>
    </row>
    <row r="2710" customFormat="false" ht="15" hidden="false" customHeight="false" outlineLevel="0" collapsed="false">
      <c r="A2710" s="148" t="n">
        <v>43238</v>
      </c>
      <c r="B2710" s="37" t="n">
        <v>1439.51330566406</v>
      </c>
    </row>
    <row r="2711" customFormat="false" ht="15" hidden="false" customHeight="false" outlineLevel="0" collapsed="false">
      <c r="A2711" s="148" t="n">
        <v>43241</v>
      </c>
      <c r="B2711" s="37" t="n">
        <v>1439.51330566406</v>
      </c>
    </row>
    <row r="2712" customFormat="false" ht="15" hidden="false" customHeight="false" outlineLevel="0" collapsed="false">
      <c r="A2712" s="148" t="n">
        <v>43242</v>
      </c>
      <c r="B2712" s="37" t="n">
        <v>1399.52685546875</v>
      </c>
    </row>
    <row r="2713" customFormat="false" ht="15" hidden="false" customHeight="false" outlineLevel="0" collapsed="false">
      <c r="A2713" s="148" t="n">
        <v>43243</v>
      </c>
      <c r="B2713" s="37" t="n">
        <v>1438.51379394531</v>
      </c>
    </row>
    <row r="2714" customFormat="false" ht="15" hidden="false" customHeight="false" outlineLevel="0" collapsed="false">
      <c r="A2714" s="148" t="n">
        <v>43244</v>
      </c>
      <c r="B2714" s="37" t="n">
        <v>1438.51379394531</v>
      </c>
    </row>
    <row r="2715" customFormat="false" ht="15" hidden="false" customHeight="false" outlineLevel="0" collapsed="false">
      <c r="A2715" s="148" t="n">
        <v>43245</v>
      </c>
      <c r="B2715" s="37" t="n">
        <v>1438.51379394531</v>
      </c>
    </row>
    <row r="2716" customFormat="false" ht="15" hidden="false" customHeight="false" outlineLevel="0" collapsed="false">
      <c r="A2716" s="148" t="n">
        <v>43248</v>
      </c>
      <c r="B2716" s="37" t="n">
        <v>1438.51379394531</v>
      </c>
    </row>
    <row r="2717" customFormat="false" ht="15" hidden="false" customHeight="false" outlineLevel="0" collapsed="false">
      <c r="A2717" s="148" t="n">
        <v>43249</v>
      </c>
      <c r="B2717" s="37" t="n">
        <v>1369.537109375</v>
      </c>
    </row>
    <row r="2718" customFormat="false" ht="15" hidden="false" customHeight="false" outlineLevel="0" collapsed="false">
      <c r="A2718" s="148" t="n">
        <v>43250</v>
      </c>
      <c r="B2718" s="37" t="n">
        <v>1349.54370117188</v>
      </c>
    </row>
    <row r="2719" customFormat="false" ht="15" hidden="false" customHeight="false" outlineLevel="0" collapsed="false">
      <c r="A2719" s="148" t="n">
        <v>43251</v>
      </c>
      <c r="B2719" s="37" t="n">
        <v>1369.537109375</v>
      </c>
    </row>
    <row r="2720" customFormat="false" ht="15" hidden="false" customHeight="false" outlineLevel="0" collapsed="false">
      <c r="A2720" s="148" t="n">
        <v>43252</v>
      </c>
      <c r="B2720" s="37" t="n">
        <v>1369.537109375</v>
      </c>
    </row>
    <row r="2721" customFormat="false" ht="15" hidden="false" customHeight="false" outlineLevel="0" collapsed="false">
      <c r="A2721" s="148" t="n">
        <v>43255</v>
      </c>
      <c r="B2721" s="37" t="n">
        <v>1313.55590820313</v>
      </c>
    </row>
    <row r="2722" customFormat="false" ht="15" hidden="false" customHeight="false" outlineLevel="0" collapsed="false">
      <c r="A2722" s="148" t="n">
        <v>43256</v>
      </c>
      <c r="B2722" s="37" t="n">
        <v>1324.55224609375</v>
      </c>
    </row>
    <row r="2723" customFormat="false" ht="15" hidden="false" customHeight="false" outlineLevel="0" collapsed="false">
      <c r="A2723" s="148" t="n">
        <v>43257</v>
      </c>
      <c r="B2723" s="37" t="n">
        <v>1398.52722167969</v>
      </c>
    </row>
    <row r="2724" customFormat="false" ht="15" hidden="false" customHeight="false" outlineLevel="0" collapsed="false">
      <c r="A2724" s="148" t="n">
        <v>43258</v>
      </c>
      <c r="B2724" s="37" t="n">
        <v>1399.52685546875</v>
      </c>
    </row>
    <row r="2725" customFormat="false" ht="15" hidden="false" customHeight="false" outlineLevel="0" collapsed="false">
      <c r="A2725" s="148" t="n">
        <v>43259</v>
      </c>
      <c r="B2725" s="37" t="n">
        <v>1439.51330566406</v>
      </c>
    </row>
    <row r="2726" customFormat="false" ht="15" hidden="false" customHeight="false" outlineLevel="0" collapsed="false">
      <c r="A2726" s="148" t="n">
        <v>43262</v>
      </c>
      <c r="B2726" s="37" t="n">
        <v>1439.51330566406</v>
      </c>
    </row>
    <row r="2727" customFormat="false" ht="15" hidden="false" customHeight="false" outlineLevel="0" collapsed="false">
      <c r="A2727" s="148" t="n">
        <v>43263</v>
      </c>
      <c r="B2727" s="37" t="n">
        <v>1439.51330566406</v>
      </c>
    </row>
    <row r="2728" customFormat="false" ht="15" hidden="false" customHeight="false" outlineLevel="0" collapsed="false">
      <c r="A2728" s="148" t="n">
        <v>43264</v>
      </c>
      <c r="B2728" s="37" t="n">
        <v>1368.53735351563</v>
      </c>
    </row>
    <row r="2729" customFormat="false" ht="15" hidden="false" customHeight="false" outlineLevel="0" collapsed="false">
      <c r="A2729" s="148" t="n">
        <v>43265</v>
      </c>
      <c r="B2729" s="37" t="n">
        <v>1369.537109375</v>
      </c>
    </row>
    <row r="2730" customFormat="false" ht="15" hidden="false" customHeight="false" outlineLevel="0" collapsed="false">
      <c r="A2730" s="148" t="n">
        <v>43266</v>
      </c>
      <c r="B2730" s="37" t="n">
        <v>1438.51379394531</v>
      </c>
    </row>
    <row r="2731" customFormat="false" ht="15" hidden="false" customHeight="false" outlineLevel="0" collapsed="false">
      <c r="A2731" s="148" t="n">
        <v>43269</v>
      </c>
      <c r="B2731" s="37" t="n">
        <v>1399.52685546875</v>
      </c>
    </row>
    <row r="2732" customFormat="false" ht="15" hidden="false" customHeight="false" outlineLevel="0" collapsed="false">
      <c r="A2732" s="148" t="n">
        <v>43270</v>
      </c>
      <c r="B2732" s="37" t="n">
        <v>1397.52758789063</v>
      </c>
    </row>
    <row r="2733" customFormat="false" ht="15" hidden="false" customHeight="false" outlineLevel="0" collapsed="false">
      <c r="A2733" s="148" t="n">
        <v>43271</v>
      </c>
      <c r="B2733" s="37" t="n">
        <v>1320.55358886719</v>
      </c>
    </row>
    <row r="2734" customFormat="false" ht="15" hidden="false" customHeight="false" outlineLevel="0" collapsed="false">
      <c r="A2734" s="148" t="n">
        <v>43272</v>
      </c>
      <c r="B2734" s="37" t="n">
        <v>1399.52685546875</v>
      </c>
    </row>
    <row r="2735" customFormat="false" ht="15" hidden="false" customHeight="false" outlineLevel="0" collapsed="false">
      <c r="A2735" s="148" t="n">
        <v>43273</v>
      </c>
      <c r="B2735" s="37" t="n">
        <v>1429.51672363281</v>
      </c>
    </row>
    <row r="2736" customFormat="false" ht="15" hidden="false" customHeight="false" outlineLevel="0" collapsed="false">
      <c r="A2736" s="148" t="n">
        <v>43276</v>
      </c>
      <c r="B2736" s="37" t="n">
        <v>1419.52014160156</v>
      </c>
    </row>
    <row r="2737" customFormat="false" ht="15" hidden="false" customHeight="false" outlineLevel="0" collapsed="false">
      <c r="A2737" s="148" t="n">
        <v>43277</v>
      </c>
      <c r="B2737" s="37" t="n">
        <v>1449.51000976563</v>
      </c>
    </row>
    <row r="2738" customFormat="false" ht="15" hidden="false" customHeight="false" outlineLevel="0" collapsed="false">
      <c r="A2738" s="148" t="n">
        <v>43278</v>
      </c>
      <c r="B2738" s="37" t="n">
        <v>1401.52624511719</v>
      </c>
    </row>
    <row r="2739" customFormat="false" ht="15" hidden="false" customHeight="false" outlineLevel="0" collapsed="false">
      <c r="A2739" s="148" t="n">
        <v>43279</v>
      </c>
      <c r="B2739" s="37" t="n">
        <v>1474.50158691406</v>
      </c>
    </row>
    <row r="2740" customFormat="false" ht="15" hidden="false" customHeight="false" outlineLevel="0" collapsed="false">
      <c r="A2740" s="148" t="n">
        <v>43280</v>
      </c>
      <c r="B2740" s="37" t="n">
        <v>1524.48474121094</v>
      </c>
    </row>
    <row r="2741" customFormat="false" ht="15" hidden="false" customHeight="false" outlineLevel="0" collapsed="false">
      <c r="A2741" s="148" t="n">
        <v>43283</v>
      </c>
      <c r="B2741" s="37" t="n">
        <v>1401.52624511719</v>
      </c>
    </row>
    <row r="2742" customFormat="false" ht="15" hidden="false" customHeight="false" outlineLevel="0" collapsed="false">
      <c r="A2742" s="148" t="n">
        <v>43284</v>
      </c>
      <c r="B2742" s="37" t="n">
        <v>1425.51818847656</v>
      </c>
    </row>
    <row r="2743" customFormat="false" ht="15" hidden="false" customHeight="false" outlineLevel="0" collapsed="false">
      <c r="A2743" s="148" t="n">
        <v>43285</v>
      </c>
      <c r="B2743" s="37" t="n">
        <v>1499.49304199219</v>
      </c>
    </row>
    <row r="2744" customFormat="false" ht="15" hidden="false" customHeight="false" outlineLevel="0" collapsed="false">
      <c r="A2744" s="148" t="n">
        <v>43286</v>
      </c>
      <c r="B2744" s="37" t="n">
        <v>1439.51330566406</v>
      </c>
    </row>
    <row r="2745" customFormat="false" ht="15" hidden="false" customHeight="false" outlineLevel="0" collapsed="false">
      <c r="A2745" s="148" t="n">
        <v>43287</v>
      </c>
      <c r="B2745" s="37" t="n">
        <v>1439.51330566406</v>
      </c>
    </row>
    <row r="2746" customFormat="false" ht="15" hidden="false" customHeight="false" outlineLevel="0" collapsed="false">
      <c r="A2746" s="148" t="n">
        <v>43290</v>
      </c>
      <c r="B2746" s="37" t="n">
        <v>1424.51843261719</v>
      </c>
    </row>
    <row r="2747" customFormat="false" ht="15" hidden="false" customHeight="false" outlineLevel="0" collapsed="false">
      <c r="A2747" s="148" t="n">
        <v>43291</v>
      </c>
      <c r="B2747" s="37" t="n">
        <v>1424.51843261719</v>
      </c>
    </row>
    <row r="2748" customFormat="false" ht="15" hidden="false" customHeight="false" outlineLevel="0" collapsed="false">
      <c r="A2748" s="148" t="n">
        <v>43292</v>
      </c>
      <c r="B2748" s="37" t="n">
        <v>1393.52893066406</v>
      </c>
    </row>
    <row r="2749" customFormat="false" ht="15" hidden="false" customHeight="false" outlineLevel="0" collapsed="false">
      <c r="A2749" s="148" t="n">
        <v>43293</v>
      </c>
      <c r="B2749" s="37" t="n">
        <v>1299.56079101563</v>
      </c>
    </row>
    <row r="2750" customFormat="false" ht="15" hidden="false" customHeight="false" outlineLevel="0" collapsed="false">
      <c r="A2750" s="148" t="n">
        <v>43294</v>
      </c>
      <c r="B2750" s="37" t="n">
        <v>1398.52722167969</v>
      </c>
    </row>
    <row r="2751" customFormat="false" ht="15" hidden="false" customHeight="false" outlineLevel="0" collapsed="false">
      <c r="A2751" s="148" t="n">
        <v>43297</v>
      </c>
      <c r="B2751" s="37" t="n">
        <v>1398.52722167969</v>
      </c>
    </row>
    <row r="2752" customFormat="false" ht="15" hidden="false" customHeight="false" outlineLevel="0" collapsed="false">
      <c r="A2752" s="148" t="n">
        <v>43298</v>
      </c>
      <c r="B2752" s="37" t="n">
        <v>1397.52758789063</v>
      </c>
    </row>
    <row r="2753" customFormat="false" ht="15" hidden="false" customHeight="false" outlineLevel="0" collapsed="false">
      <c r="A2753" s="148" t="n">
        <v>43299</v>
      </c>
      <c r="B2753" s="37" t="n">
        <v>1398.52722167969</v>
      </c>
    </row>
    <row r="2754" customFormat="false" ht="15" hidden="false" customHeight="false" outlineLevel="0" collapsed="false">
      <c r="A2754" s="148" t="n">
        <v>43300</v>
      </c>
      <c r="B2754" s="37" t="n">
        <v>1398.52722167969</v>
      </c>
    </row>
    <row r="2755" customFormat="false" ht="15" hidden="false" customHeight="false" outlineLevel="0" collapsed="false">
      <c r="A2755" s="148" t="n">
        <v>43301</v>
      </c>
      <c r="B2755" s="37" t="n">
        <v>1349.54370117188</v>
      </c>
    </row>
    <row r="2756" customFormat="false" ht="15" hidden="false" customHeight="false" outlineLevel="0" collapsed="false">
      <c r="A2756" s="148" t="n">
        <v>43304</v>
      </c>
      <c r="B2756" s="37" t="n">
        <v>1299.56079101563</v>
      </c>
    </row>
    <row r="2757" customFormat="false" ht="15" hidden="false" customHeight="false" outlineLevel="0" collapsed="false">
      <c r="A2757" s="148" t="n">
        <v>43305</v>
      </c>
      <c r="B2757" s="37" t="n">
        <v>1324.55224609375</v>
      </c>
    </row>
    <row r="2758" customFormat="false" ht="15" hidden="false" customHeight="false" outlineLevel="0" collapsed="false">
      <c r="A2758" s="148" t="n">
        <v>43306</v>
      </c>
      <c r="B2758" s="37" t="n">
        <v>1297.56127929688</v>
      </c>
    </row>
    <row r="2759" customFormat="false" ht="15" hidden="false" customHeight="false" outlineLevel="0" collapsed="false">
      <c r="A2759" s="148" t="n">
        <v>43307</v>
      </c>
      <c r="B2759" s="37" t="n">
        <v>1249.57763671875</v>
      </c>
    </row>
    <row r="2760" customFormat="false" ht="15" hidden="false" customHeight="false" outlineLevel="0" collapsed="false">
      <c r="A2760" s="148" t="n">
        <v>43308</v>
      </c>
      <c r="B2760" s="37" t="n">
        <v>1249.57763671875</v>
      </c>
    </row>
    <row r="2761" customFormat="false" ht="15" hidden="false" customHeight="false" outlineLevel="0" collapsed="false">
      <c r="A2761" s="148" t="n">
        <v>43311</v>
      </c>
      <c r="B2761" s="37" t="n">
        <v>1249.57763671875</v>
      </c>
    </row>
    <row r="2762" customFormat="false" ht="15" hidden="false" customHeight="false" outlineLevel="0" collapsed="false">
      <c r="A2762" s="148" t="n">
        <v>43312</v>
      </c>
      <c r="B2762" s="37" t="n">
        <v>1299.56079101563</v>
      </c>
    </row>
    <row r="2763" customFormat="false" ht="15" hidden="false" customHeight="false" outlineLevel="0" collapsed="false">
      <c r="A2763" s="148" t="n">
        <v>43313</v>
      </c>
      <c r="B2763" s="37" t="n">
        <v>1298.56103515625</v>
      </c>
    </row>
    <row r="2764" customFormat="false" ht="15" hidden="false" customHeight="false" outlineLevel="0" collapsed="false">
      <c r="A2764" s="148" t="n">
        <v>43314</v>
      </c>
      <c r="B2764" s="37" t="n">
        <v>1285.5654296875</v>
      </c>
    </row>
    <row r="2765" customFormat="false" ht="15" hidden="false" customHeight="false" outlineLevel="0" collapsed="false">
      <c r="A2765" s="148" t="n">
        <v>43315</v>
      </c>
      <c r="B2765" s="37" t="n">
        <v>1230.583984375</v>
      </c>
    </row>
    <row r="2766" customFormat="false" ht="15" hidden="false" customHeight="false" outlineLevel="0" collapsed="false">
      <c r="A2766" s="148" t="n">
        <v>43318</v>
      </c>
      <c r="B2766" s="37" t="n">
        <v>1155.60925292969</v>
      </c>
    </row>
    <row r="2767" customFormat="false" ht="15" hidden="false" customHeight="false" outlineLevel="0" collapsed="false">
      <c r="A2767" s="148" t="n">
        <v>43319</v>
      </c>
      <c r="B2767" s="37" t="n">
        <v>1227.58508300781</v>
      </c>
    </row>
    <row r="2768" customFormat="false" ht="15" hidden="false" customHeight="false" outlineLevel="0" collapsed="false">
      <c r="A2768" s="148" t="n">
        <v>43320</v>
      </c>
      <c r="B2768" s="37" t="n">
        <v>1196.59558105469</v>
      </c>
    </row>
    <row r="2769" customFormat="false" ht="15" hidden="false" customHeight="false" outlineLevel="0" collapsed="false">
      <c r="A2769" s="148" t="n">
        <v>43322</v>
      </c>
      <c r="B2769" s="37" t="n">
        <v>1149.61145019531</v>
      </c>
    </row>
    <row r="2770" customFormat="false" ht="15" hidden="false" customHeight="false" outlineLevel="0" collapsed="false">
      <c r="A2770" s="148" t="n">
        <v>43325</v>
      </c>
      <c r="B2770" s="37" t="n">
        <v>1149.61145019531</v>
      </c>
    </row>
    <row r="2771" customFormat="false" ht="15" hidden="false" customHeight="false" outlineLevel="0" collapsed="false">
      <c r="A2771" s="148" t="n">
        <v>43326</v>
      </c>
      <c r="B2771" s="37" t="n">
        <v>1129.61804199219</v>
      </c>
    </row>
    <row r="2772" customFormat="false" ht="15" hidden="false" customHeight="false" outlineLevel="0" collapsed="false">
      <c r="A2772" s="148" t="n">
        <v>43327</v>
      </c>
      <c r="B2772" s="37" t="n">
        <v>1098.62854003906</v>
      </c>
    </row>
    <row r="2773" customFormat="false" ht="15" hidden="false" customHeight="false" outlineLevel="0" collapsed="false">
      <c r="A2773" s="148" t="n">
        <v>43328</v>
      </c>
      <c r="B2773" s="37" t="n">
        <v>1088.63195800781</v>
      </c>
    </row>
    <row r="2774" customFormat="false" ht="15" hidden="false" customHeight="false" outlineLevel="0" collapsed="false">
      <c r="A2774" s="148" t="n">
        <v>43329</v>
      </c>
      <c r="B2774" s="37" t="n">
        <v>1099.62829589844</v>
      </c>
    </row>
    <row r="2775" customFormat="false" ht="15" hidden="false" customHeight="false" outlineLevel="0" collapsed="false">
      <c r="A2775" s="148" t="n">
        <v>43332</v>
      </c>
      <c r="B2775" s="37" t="n">
        <v>1099.62829589844</v>
      </c>
    </row>
    <row r="2776" customFormat="false" ht="15" hidden="false" customHeight="false" outlineLevel="0" collapsed="false">
      <c r="A2776" s="148" t="n">
        <v>43333</v>
      </c>
      <c r="B2776" s="37" t="n">
        <v>999.662109375</v>
      </c>
    </row>
    <row r="2777" customFormat="false" ht="15" hidden="false" customHeight="false" outlineLevel="0" collapsed="false">
      <c r="A2777" s="148" t="n">
        <v>43334</v>
      </c>
      <c r="B2777" s="37" t="n">
        <v>969.672241210938</v>
      </c>
    </row>
    <row r="2778" customFormat="false" ht="15" hidden="false" customHeight="false" outlineLevel="0" collapsed="false">
      <c r="A2778" s="148" t="n">
        <v>43335</v>
      </c>
      <c r="B2778" s="37" t="n">
        <v>999.662109375</v>
      </c>
    </row>
    <row r="2779" customFormat="false" ht="15" hidden="false" customHeight="false" outlineLevel="0" collapsed="false">
      <c r="A2779" s="148" t="n">
        <v>43336</v>
      </c>
      <c r="B2779" s="37" t="n">
        <v>874.704284667969</v>
      </c>
    </row>
    <row r="2780" customFormat="false" ht="15" hidden="false" customHeight="false" outlineLevel="0" collapsed="false">
      <c r="A2780" s="148" t="n">
        <v>43339</v>
      </c>
      <c r="B2780" s="37" t="n">
        <v>974.670532226563</v>
      </c>
    </row>
    <row r="2781" customFormat="false" ht="15" hidden="false" customHeight="false" outlineLevel="0" collapsed="false">
      <c r="A2781" s="148" t="n">
        <v>43340</v>
      </c>
      <c r="B2781" s="37" t="n">
        <v>974.670532226563</v>
      </c>
    </row>
    <row r="2782" customFormat="false" ht="15" hidden="false" customHeight="false" outlineLevel="0" collapsed="false">
      <c r="A2782" s="148" t="n">
        <v>43341</v>
      </c>
      <c r="B2782" s="37" t="n">
        <v>1099.62829589844</v>
      </c>
    </row>
    <row r="2783" customFormat="false" ht="15" hidden="false" customHeight="false" outlineLevel="0" collapsed="false">
      <c r="A2783" s="148" t="n">
        <v>43342</v>
      </c>
      <c r="B2783" s="37" t="n">
        <v>1099.62829589844</v>
      </c>
    </row>
    <row r="2784" customFormat="false" ht="15" hidden="false" customHeight="false" outlineLevel="0" collapsed="false">
      <c r="A2784" s="148" t="n">
        <v>43343</v>
      </c>
      <c r="B2784" s="37" t="n">
        <v>994.663757324219</v>
      </c>
    </row>
    <row r="2785" customFormat="false" ht="15" hidden="false" customHeight="false" outlineLevel="0" collapsed="false">
      <c r="A2785" s="148" t="n">
        <v>43346</v>
      </c>
      <c r="B2785" s="37" t="n">
        <v>1019.65533447266</v>
      </c>
    </row>
    <row r="2786" customFormat="false" ht="15" hidden="false" customHeight="false" outlineLevel="0" collapsed="false">
      <c r="A2786" s="148" t="n">
        <v>43347</v>
      </c>
      <c r="B2786" s="37" t="n">
        <v>1133.61682128906</v>
      </c>
    </row>
    <row r="2787" customFormat="false" ht="15" hidden="false" customHeight="false" outlineLevel="0" collapsed="false">
      <c r="A2787" s="148" t="n">
        <v>43348</v>
      </c>
      <c r="B2787" s="37" t="n">
        <v>1132.61706542969</v>
      </c>
    </row>
    <row r="2788" customFormat="false" ht="15" hidden="false" customHeight="false" outlineLevel="0" collapsed="false">
      <c r="A2788" s="148" t="n">
        <v>43349</v>
      </c>
      <c r="B2788" s="37" t="n">
        <v>999.662109375</v>
      </c>
    </row>
    <row r="2789" customFormat="false" ht="15" hidden="false" customHeight="false" outlineLevel="0" collapsed="false">
      <c r="A2789" s="148" t="n">
        <v>43350</v>
      </c>
      <c r="B2789" s="37" t="n">
        <v>1099.62829589844</v>
      </c>
    </row>
    <row r="2790" customFormat="false" ht="15" hidden="false" customHeight="false" outlineLevel="0" collapsed="false">
      <c r="A2790" s="148" t="n">
        <v>43353</v>
      </c>
      <c r="B2790" s="37" t="n">
        <v>1099.62829589844</v>
      </c>
    </row>
    <row r="2791" customFormat="false" ht="15" hidden="false" customHeight="false" outlineLevel="0" collapsed="false">
      <c r="A2791" s="148" t="n">
        <v>43354</v>
      </c>
      <c r="B2791" s="37" t="n">
        <v>1009.65869140625</v>
      </c>
    </row>
    <row r="2792" customFormat="false" ht="15" hidden="false" customHeight="false" outlineLevel="0" collapsed="false">
      <c r="A2792" s="148" t="n">
        <v>43355</v>
      </c>
      <c r="B2792" s="37" t="n">
        <v>1009.65869140625</v>
      </c>
    </row>
    <row r="2793" customFormat="false" ht="15" hidden="false" customHeight="false" outlineLevel="0" collapsed="false">
      <c r="A2793" s="148" t="n">
        <v>43356</v>
      </c>
      <c r="B2793" s="37" t="n">
        <v>1049.64514160156</v>
      </c>
    </row>
    <row r="2794" customFormat="false" ht="15" hidden="false" customHeight="false" outlineLevel="0" collapsed="false">
      <c r="A2794" s="148" t="n">
        <v>43357</v>
      </c>
      <c r="B2794" s="37" t="n">
        <v>1099.62829589844</v>
      </c>
    </row>
    <row r="2795" customFormat="false" ht="15" hidden="false" customHeight="false" outlineLevel="0" collapsed="false">
      <c r="A2795" s="148" t="n">
        <v>43360</v>
      </c>
      <c r="B2795" s="37" t="n">
        <v>1049.64514160156</v>
      </c>
    </row>
    <row r="2796" customFormat="false" ht="15" hidden="false" customHeight="false" outlineLevel="0" collapsed="false">
      <c r="A2796" s="148" t="n">
        <v>43361</v>
      </c>
      <c r="B2796" s="37" t="n">
        <v>999.662109375</v>
      </c>
    </row>
    <row r="2797" customFormat="false" ht="15" hidden="false" customHeight="false" outlineLevel="0" collapsed="false">
      <c r="A2797" s="148" t="n">
        <v>43362</v>
      </c>
      <c r="B2797" s="37" t="n">
        <v>999.662109375</v>
      </c>
    </row>
    <row r="2798" customFormat="false" ht="15" hidden="false" customHeight="false" outlineLevel="0" collapsed="false">
      <c r="A2798" s="148" t="n">
        <v>43363</v>
      </c>
      <c r="B2798" s="37" t="n">
        <v>1125.61950683594</v>
      </c>
    </row>
    <row r="2799" customFormat="false" ht="15" hidden="false" customHeight="false" outlineLevel="0" collapsed="false">
      <c r="A2799" s="148" t="n">
        <v>43364</v>
      </c>
      <c r="B2799" s="37" t="n">
        <v>1026.65295410156</v>
      </c>
    </row>
    <row r="2800" customFormat="false" ht="15" hidden="false" customHeight="false" outlineLevel="0" collapsed="false">
      <c r="A2800" s="148" t="n">
        <v>43368</v>
      </c>
      <c r="B2800" s="37" t="n">
        <v>1001.66137695313</v>
      </c>
    </row>
    <row r="2801" customFormat="false" ht="15" hidden="false" customHeight="false" outlineLevel="0" collapsed="false">
      <c r="A2801" s="148" t="n">
        <v>43369</v>
      </c>
      <c r="B2801" s="37" t="n">
        <v>998.662414550781</v>
      </c>
    </row>
    <row r="2802" customFormat="false" ht="15" hidden="false" customHeight="false" outlineLevel="0" collapsed="false">
      <c r="A2802" s="148" t="n">
        <v>43370</v>
      </c>
      <c r="B2802" s="37" t="n">
        <v>999.662109375</v>
      </c>
    </row>
    <row r="2803" customFormat="false" ht="15" hidden="false" customHeight="false" outlineLevel="0" collapsed="false">
      <c r="A2803" s="148" t="n">
        <v>43371</v>
      </c>
      <c r="B2803" s="37" t="n">
        <v>999.662109375</v>
      </c>
    </row>
    <row r="2804" customFormat="false" ht="15" hidden="false" customHeight="false" outlineLevel="0" collapsed="false">
      <c r="A2804" s="148" t="n">
        <v>43374</v>
      </c>
      <c r="B2804" s="37" t="n">
        <v>999.662109375</v>
      </c>
    </row>
    <row r="2805" customFormat="false" ht="15" hidden="false" customHeight="false" outlineLevel="0" collapsed="false">
      <c r="A2805" s="148" t="n">
        <v>43375</v>
      </c>
      <c r="B2805" s="37" t="n">
        <v>949.678955078125</v>
      </c>
    </row>
    <row r="2806" customFormat="false" ht="15" hidden="false" customHeight="false" outlineLevel="0" collapsed="false">
      <c r="A2806" s="148" t="n">
        <v>43376</v>
      </c>
      <c r="B2806" s="37" t="n">
        <v>944.6806640625</v>
      </c>
    </row>
    <row r="2807" customFormat="false" ht="15" hidden="false" customHeight="false" outlineLevel="0" collapsed="false">
      <c r="A2807" s="148" t="n">
        <v>43377</v>
      </c>
      <c r="B2807" s="37" t="n">
        <v>875.703979492188</v>
      </c>
    </row>
    <row r="2808" customFormat="false" ht="15" hidden="false" customHeight="false" outlineLevel="0" collapsed="false">
      <c r="A2808" s="148" t="n">
        <v>43378</v>
      </c>
      <c r="B2808" s="37" t="n">
        <v>874.704284667969</v>
      </c>
    </row>
    <row r="2809" customFormat="false" ht="15" hidden="false" customHeight="false" outlineLevel="0" collapsed="false">
      <c r="A2809" s="148" t="n">
        <v>43381</v>
      </c>
      <c r="B2809" s="37" t="n">
        <v>873.704650878906</v>
      </c>
    </row>
    <row r="2810" customFormat="false" ht="15" hidden="false" customHeight="false" outlineLevel="0" collapsed="false">
      <c r="A2810" s="148" t="n">
        <v>43382</v>
      </c>
      <c r="B2810" s="37" t="n">
        <v>879.70263671875</v>
      </c>
    </row>
    <row r="2811" customFormat="false" ht="15" hidden="false" customHeight="false" outlineLevel="0" collapsed="false">
      <c r="A2811" s="148" t="n">
        <v>43383</v>
      </c>
      <c r="B2811" s="37" t="n">
        <v>879.70263671875</v>
      </c>
    </row>
    <row r="2812" customFormat="false" ht="15" hidden="false" customHeight="false" outlineLevel="0" collapsed="false">
      <c r="A2812" s="148" t="n">
        <v>43384</v>
      </c>
      <c r="B2812" s="37" t="n">
        <v>880.702270507813</v>
      </c>
    </row>
    <row r="2813" customFormat="false" ht="15" hidden="false" customHeight="false" outlineLevel="0" collapsed="false">
      <c r="A2813" s="148" t="n">
        <v>43385</v>
      </c>
      <c r="B2813" s="37" t="n">
        <v>889.699279785156</v>
      </c>
    </row>
    <row r="2814" customFormat="false" ht="15" hidden="false" customHeight="false" outlineLevel="0" collapsed="false">
      <c r="A2814" s="148" t="n">
        <v>43388</v>
      </c>
      <c r="B2814" s="37" t="n">
        <v>889.699279785156</v>
      </c>
    </row>
    <row r="2815" customFormat="false" ht="15" hidden="false" customHeight="false" outlineLevel="0" collapsed="false">
      <c r="A2815" s="148" t="n">
        <v>43389</v>
      </c>
      <c r="B2815" s="37" t="n">
        <v>999.662109375</v>
      </c>
    </row>
    <row r="2816" customFormat="false" ht="15" hidden="false" customHeight="false" outlineLevel="0" collapsed="false">
      <c r="A2816" s="148" t="n">
        <v>43390</v>
      </c>
      <c r="B2816" s="37" t="n">
        <v>899.695861816406</v>
      </c>
    </row>
    <row r="2817" customFormat="false" ht="15" hidden="false" customHeight="false" outlineLevel="0" collapsed="false">
      <c r="A2817" s="148" t="n">
        <v>43391</v>
      </c>
      <c r="B2817" s="37" t="n">
        <v>752.745544433594</v>
      </c>
    </row>
    <row r="2818" customFormat="false" ht="15" hidden="false" customHeight="false" outlineLevel="0" collapsed="false">
      <c r="A2818" s="148" t="n">
        <v>43392</v>
      </c>
      <c r="B2818" s="37" t="n">
        <v>752.745544433594</v>
      </c>
    </row>
    <row r="2819" customFormat="false" ht="15" hidden="false" customHeight="false" outlineLevel="0" collapsed="false">
      <c r="A2819" s="148" t="n">
        <v>43395</v>
      </c>
      <c r="B2819" s="37" t="n">
        <v>949.678955078125</v>
      </c>
    </row>
    <row r="2820" customFormat="false" ht="15" hidden="false" customHeight="false" outlineLevel="0" collapsed="false">
      <c r="A2820" s="148" t="n">
        <v>43396</v>
      </c>
      <c r="B2820" s="37" t="n">
        <v>800.729309082031</v>
      </c>
    </row>
    <row r="2821" customFormat="false" ht="15" hidden="false" customHeight="false" outlineLevel="0" collapsed="false">
      <c r="A2821" s="148" t="n">
        <v>43397</v>
      </c>
      <c r="B2821" s="37" t="n">
        <v>899.695861816406</v>
      </c>
    </row>
    <row r="2822" customFormat="false" ht="15" hidden="false" customHeight="false" outlineLevel="0" collapsed="false">
      <c r="A2822" s="148" t="n">
        <v>43398</v>
      </c>
      <c r="B2822" s="37" t="n">
        <v>849.712768554688</v>
      </c>
    </row>
    <row r="2823" customFormat="false" ht="15" hidden="false" customHeight="false" outlineLevel="0" collapsed="false">
      <c r="A2823" s="148" t="n">
        <v>43399</v>
      </c>
      <c r="B2823" s="37" t="n">
        <v>824.72119140625</v>
      </c>
    </row>
    <row r="2824" customFormat="false" ht="15" hidden="false" customHeight="false" outlineLevel="0" collapsed="false">
      <c r="A2824" s="148" t="n">
        <v>43402</v>
      </c>
      <c r="B2824" s="37" t="n">
        <v>899.695861816406</v>
      </c>
    </row>
    <row r="2825" customFormat="false" ht="15" hidden="false" customHeight="false" outlineLevel="0" collapsed="false">
      <c r="A2825" s="148" t="n">
        <v>43403</v>
      </c>
      <c r="B2825" s="37" t="n">
        <v>849.712768554688</v>
      </c>
    </row>
    <row r="2826" customFormat="false" ht="15" hidden="false" customHeight="false" outlineLevel="0" collapsed="false">
      <c r="A2826" s="148" t="n">
        <v>43404</v>
      </c>
      <c r="B2826" s="37" t="n">
        <v>898.696228027344</v>
      </c>
    </row>
    <row r="2827" customFormat="false" ht="15" hidden="false" customHeight="false" outlineLevel="0" collapsed="false">
      <c r="A2827" s="148" t="n">
        <v>43405</v>
      </c>
      <c r="B2827" s="37" t="n">
        <v>896.696838378906</v>
      </c>
    </row>
    <row r="2828" customFormat="false" ht="15" hidden="false" customHeight="false" outlineLevel="0" collapsed="false">
      <c r="A2828" s="148" t="n">
        <v>43406</v>
      </c>
      <c r="B2828" s="37" t="n">
        <v>824.72119140625</v>
      </c>
    </row>
    <row r="2829" customFormat="false" ht="15" hidden="false" customHeight="false" outlineLevel="0" collapsed="false">
      <c r="A2829" s="148" t="n">
        <v>43409</v>
      </c>
      <c r="B2829" s="37" t="n">
        <v>816.723876953125</v>
      </c>
    </row>
    <row r="2830" customFormat="false" ht="15" hidden="false" customHeight="false" outlineLevel="0" collapsed="false">
      <c r="A2830" s="148" t="n">
        <v>43410</v>
      </c>
      <c r="B2830" s="37" t="n">
        <v>716.757690429688</v>
      </c>
    </row>
    <row r="2831" customFormat="false" ht="15" hidden="false" customHeight="false" outlineLevel="0" collapsed="false">
      <c r="A2831" s="148" t="n">
        <v>43411</v>
      </c>
      <c r="B2831" s="37" t="n">
        <v>838.716430664063</v>
      </c>
    </row>
    <row r="2832" customFormat="false" ht="15" hidden="false" customHeight="false" outlineLevel="0" collapsed="false">
      <c r="A2832" s="148" t="n">
        <v>43412</v>
      </c>
      <c r="B2832" s="37" t="n">
        <v>724.755004882813</v>
      </c>
    </row>
    <row r="2833" customFormat="false" ht="15" hidden="false" customHeight="false" outlineLevel="0" collapsed="false">
      <c r="A2833" s="148" t="n">
        <v>43413</v>
      </c>
      <c r="B2833" s="37" t="n">
        <v>797.730346679688</v>
      </c>
    </row>
    <row r="2834" customFormat="false" ht="15" hidden="false" customHeight="false" outlineLevel="0" collapsed="false">
      <c r="A2834" s="148" t="n">
        <v>43416</v>
      </c>
      <c r="B2834" s="37" t="n">
        <v>798.72998046875</v>
      </c>
    </row>
    <row r="2835" customFormat="false" ht="15" hidden="false" customHeight="false" outlineLevel="0" collapsed="false">
      <c r="A2835" s="148" t="n">
        <v>43417</v>
      </c>
      <c r="B2835" s="37" t="n">
        <v>794.731323242188</v>
      </c>
    </row>
    <row r="2836" customFormat="false" ht="15" hidden="false" customHeight="false" outlineLevel="0" collapsed="false">
      <c r="A2836" s="148" t="n">
        <v>43418</v>
      </c>
      <c r="B2836" s="37" t="n">
        <v>794.731323242188</v>
      </c>
    </row>
    <row r="2837" customFormat="false" ht="15" hidden="false" customHeight="false" outlineLevel="0" collapsed="false">
      <c r="A2837" s="148" t="n">
        <v>43419</v>
      </c>
      <c r="B2837" s="37" t="n">
        <v>787.733703613281</v>
      </c>
    </row>
    <row r="2838" customFormat="false" ht="15" hidden="false" customHeight="false" outlineLevel="0" collapsed="false">
      <c r="A2838" s="148" t="n">
        <v>43420</v>
      </c>
      <c r="B2838" s="37" t="n">
        <v>797.730346679688</v>
      </c>
    </row>
    <row r="2839" customFormat="false" ht="15" hidden="false" customHeight="false" outlineLevel="0" collapsed="false">
      <c r="A2839" s="148" t="n">
        <v>43423</v>
      </c>
      <c r="B2839" s="37" t="n">
        <v>818.723266601563</v>
      </c>
    </row>
    <row r="2840" customFormat="false" ht="15" hidden="false" customHeight="false" outlineLevel="0" collapsed="false">
      <c r="A2840" s="148" t="n">
        <v>43424</v>
      </c>
      <c r="B2840" s="37" t="n">
        <v>838.716430664063</v>
      </c>
    </row>
    <row r="2841" customFormat="false" ht="15" hidden="false" customHeight="false" outlineLevel="0" collapsed="false">
      <c r="A2841" s="148" t="n">
        <v>43425</v>
      </c>
      <c r="B2841" s="37" t="n">
        <v>799.729614257813</v>
      </c>
    </row>
    <row r="2842" customFormat="false" ht="15" hidden="false" customHeight="false" outlineLevel="0" collapsed="false">
      <c r="A2842" s="148" t="n">
        <v>43426</v>
      </c>
      <c r="B2842" s="37" t="n">
        <v>838.716430664063</v>
      </c>
    </row>
    <row r="2843" customFormat="false" ht="15" hidden="false" customHeight="false" outlineLevel="0" collapsed="false">
      <c r="A2843" s="148" t="n">
        <v>43427</v>
      </c>
      <c r="B2843" s="37" t="n">
        <v>838.716430664063</v>
      </c>
    </row>
    <row r="2844" customFormat="false" ht="15" hidden="false" customHeight="false" outlineLevel="0" collapsed="false">
      <c r="A2844" s="148" t="n">
        <v>43430</v>
      </c>
      <c r="B2844" s="37" t="n">
        <v>749.746520996094</v>
      </c>
    </row>
    <row r="2845" customFormat="false" ht="15" hidden="false" customHeight="false" outlineLevel="0" collapsed="false">
      <c r="A2845" s="148" t="n">
        <v>43431</v>
      </c>
      <c r="B2845" s="37" t="n">
        <v>844.714477539063</v>
      </c>
    </row>
    <row r="2846" customFormat="false" ht="15" hidden="false" customHeight="false" outlineLevel="0" collapsed="false">
      <c r="A2846" s="148" t="n">
        <v>43432</v>
      </c>
      <c r="B2846" s="37" t="n">
        <v>864.707702636719</v>
      </c>
    </row>
    <row r="2847" customFormat="false" ht="15" hidden="false" customHeight="false" outlineLevel="0" collapsed="false">
      <c r="A2847" s="148" t="n">
        <v>43433</v>
      </c>
      <c r="B2847" s="37" t="n">
        <v>864.707702636719</v>
      </c>
    </row>
    <row r="2848" customFormat="false" ht="15" hidden="false" customHeight="false" outlineLevel="0" collapsed="false">
      <c r="A2848" s="148" t="n">
        <v>43434</v>
      </c>
      <c r="B2848" s="37" t="n">
        <v>884.700927734375</v>
      </c>
    </row>
    <row r="2849" customFormat="false" ht="15" hidden="false" customHeight="false" outlineLevel="0" collapsed="false">
      <c r="A2849" s="148" t="n">
        <v>43437</v>
      </c>
      <c r="B2849" s="37" t="n">
        <v>849.712768554688</v>
      </c>
    </row>
    <row r="2850" customFormat="false" ht="15" hidden="false" customHeight="false" outlineLevel="0" collapsed="false">
      <c r="A2850" s="148" t="n">
        <v>43438</v>
      </c>
      <c r="B2850" s="37" t="n">
        <v>839.716125488281</v>
      </c>
    </row>
    <row r="2851" customFormat="false" ht="15" hidden="false" customHeight="false" outlineLevel="0" collapsed="false">
      <c r="A2851" s="148" t="n">
        <v>43439</v>
      </c>
      <c r="B2851" s="37" t="n">
        <v>839.716125488281</v>
      </c>
    </row>
    <row r="2852" customFormat="false" ht="15" hidden="false" customHeight="false" outlineLevel="0" collapsed="false">
      <c r="A2852" s="148" t="n">
        <v>43440</v>
      </c>
      <c r="B2852" s="37" t="n">
        <v>839.716125488281</v>
      </c>
    </row>
    <row r="2853" customFormat="false" ht="15" hidden="false" customHeight="false" outlineLevel="0" collapsed="false">
      <c r="A2853" s="148" t="n">
        <v>43441</v>
      </c>
      <c r="B2853" s="37" t="n">
        <v>849.712768554688</v>
      </c>
    </row>
    <row r="2854" customFormat="false" ht="15" hidden="false" customHeight="false" outlineLevel="0" collapsed="false">
      <c r="A2854" s="148" t="n">
        <v>43444</v>
      </c>
      <c r="B2854" s="37" t="n">
        <v>868.706359863281</v>
      </c>
    </row>
    <row r="2855" customFormat="false" ht="15" hidden="false" customHeight="false" outlineLevel="0" collapsed="false">
      <c r="A2855" s="148" t="n">
        <v>43445</v>
      </c>
      <c r="B2855" s="37" t="n">
        <v>949.678955078125</v>
      </c>
    </row>
    <row r="2856" customFormat="false" ht="15" hidden="false" customHeight="false" outlineLevel="0" collapsed="false">
      <c r="A2856" s="148" t="n">
        <v>43446</v>
      </c>
      <c r="B2856" s="37" t="n">
        <v>991.664794921875</v>
      </c>
    </row>
    <row r="2857" customFormat="false" ht="15" hidden="false" customHeight="false" outlineLevel="0" collapsed="false">
      <c r="A2857" s="148" t="n">
        <v>43447</v>
      </c>
      <c r="B2857" s="37" t="n">
        <v>999.662109375</v>
      </c>
    </row>
    <row r="2858" customFormat="false" ht="15" hidden="false" customHeight="false" outlineLevel="0" collapsed="false">
      <c r="A2858" s="148" t="n">
        <v>43448</v>
      </c>
      <c r="B2858" s="37" t="n">
        <v>933.684387207031</v>
      </c>
    </row>
    <row r="2859" customFormat="false" ht="15" hidden="false" customHeight="false" outlineLevel="0" collapsed="false">
      <c r="A2859" s="148" t="n">
        <v>43452</v>
      </c>
      <c r="B2859" s="37" t="n">
        <v>999.662109375</v>
      </c>
    </row>
    <row r="2860" customFormat="false" ht="15" hidden="false" customHeight="false" outlineLevel="0" collapsed="false">
      <c r="A2860" s="148" t="n">
        <v>43453</v>
      </c>
      <c r="B2860" s="37" t="n">
        <v>949.678955078125</v>
      </c>
    </row>
    <row r="2861" customFormat="false" ht="15" hidden="false" customHeight="false" outlineLevel="0" collapsed="false">
      <c r="A2861" s="148" t="n">
        <v>43454</v>
      </c>
      <c r="B2861" s="37" t="n">
        <v>999.662109375</v>
      </c>
    </row>
    <row r="2862" customFormat="false" ht="15" hidden="false" customHeight="false" outlineLevel="0" collapsed="false">
      <c r="A2862" s="148" t="n">
        <v>43455</v>
      </c>
      <c r="B2862" s="37" t="n">
        <v>999.662109375</v>
      </c>
    </row>
    <row r="2863" customFormat="false" ht="15" hidden="false" customHeight="false" outlineLevel="0" collapsed="false">
      <c r="A2863" s="148" t="n">
        <v>43458</v>
      </c>
      <c r="B2863" s="37" t="n">
        <v>1043.64721679688</v>
      </c>
    </row>
    <row r="2864" customFormat="false" ht="15" hidden="false" customHeight="false" outlineLevel="0" collapsed="false">
      <c r="A2864" s="148" t="n">
        <v>43461</v>
      </c>
      <c r="B2864" s="37" t="n">
        <v>1119.62145996094</v>
      </c>
    </row>
    <row r="2865" customFormat="false" ht="15" hidden="false" customHeight="false" outlineLevel="0" collapsed="false">
      <c r="A2865" s="148" t="n">
        <v>43462</v>
      </c>
      <c r="B2865" s="37" t="n">
        <v>1149.61145019531</v>
      </c>
    </row>
    <row r="2866" customFormat="false" ht="15" hidden="false" customHeight="false" outlineLevel="0" collapsed="false">
      <c r="A2866" s="148" t="n">
        <v>43465</v>
      </c>
      <c r="B2866" s="37" t="n">
        <v>1048.6455078125</v>
      </c>
    </row>
    <row r="2867" customFormat="false" ht="15" hidden="false" customHeight="false" outlineLevel="0" collapsed="false">
      <c r="A2867" s="148" t="n">
        <v>43467</v>
      </c>
      <c r="B2867" s="37" t="n">
        <v>1047.64587402344</v>
      </c>
    </row>
    <row r="2868" customFormat="false" ht="15" hidden="false" customHeight="false" outlineLevel="0" collapsed="false">
      <c r="A2868" s="148" t="n">
        <v>43468</v>
      </c>
      <c r="B2868" s="37" t="n">
        <v>999.662109375</v>
      </c>
    </row>
    <row r="2869" customFormat="false" ht="15" hidden="false" customHeight="false" outlineLevel="0" collapsed="false">
      <c r="A2869" s="148" t="n">
        <v>43469</v>
      </c>
      <c r="B2869" s="37" t="n">
        <v>949.678955078125</v>
      </c>
    </row>
    <row r="2870" customFormat="false" ht="15" hidden="false" customHeight="false" outlineLevel="0" collapsed="false">
      <c r="A2870" s="148" t="n">
        <v>43472</v>
      </c>
      <c r="B2870" s="37" t="n">
        <v>998.662414550781</v>
      </c>
    </row>
    <row r="2871" customFormat="false" ht="15" hidden="false" customHeight="false" outlineLevel="0" collapsed="false">
      <c r="A2871" s="148" t="n">
        <v>43473</v>
      </c>
      <c r="B2871" s="37" t="n">
        <v>899.695861816406</v>
      </c>
    </row>
    <row r="2872" customFormat="false" ht="15" hidden="false" customHeight="false" outlineLevel="0" collapsed="false">
      <c r="A2872" s="148" t="n">
        <v>43474</v>
      </c>
      <c r="B2872" s="37" t="n">
        <v>969.672241210938</v>
      </c>
    </row>
    <row r="2873" customFormat="false" ht="15" hidden="false" customHeight="false" outlineLevel="0" collapsed="false">
      <c r="A2873" s="148" t="n">
        <v>43475</v>
      </c>
      <c r="B2873" s="37" t="n">
        <v>969.672241210938</v>
      </c>
    </row>
    <row r="2874" customFormat="false" ht="15" hidden="false" customHeight="false" outlineLevel="0" collapsed="false">
      <c r="A2874" s="148" t="n">
        <v>43476</v>
      </c>
      <c r="B2874" s="37" t="n">
        <v>862.708374023438</v>
      </c>
    </row>
    <row r="2875" customFormat="false" ht="15" hidden="false" customHeight="false" outlineLevel="0" collapsed="false">
      <c r="A2875" s="148" t="n">
        <v>43479</v>
      </c>
      <c r="B2875" s="37" t="n">
        <v>888.699584960938</v>
      </c>
    </row>
    <row r="2876" customFormat="false" ht="15" hidden="false" customHeight="false" outlineLevel="0" collapsed="false">
      <c r="A2876" s="148" t="n">
        <v>43480</v>
      </c>
      <c r="B2876" s="37" t="n">
        <v>859.709350585938</v>
      </c>
    </row>
    <row r="2877" customFormat="false" ht="15" hidden="false" customHeight="false" outlineLevel="0" collapsed="false">
      <c r="A2877" s="148" t="n">
        <v>43481</v>
      </c>
      <c r="B2877" s="37" t="n">
        <v>858.709716796875</v>
      </c>
    </row>
    <row r="2878" customFormat="false" ht="15" hidden="false" customHeight="false" outlineLevel="0" collapsed="false">
      <c r="A2878" s="148" t="n">
        <v>43482</v>
      </c>
      <c r="B2878" s="37" t="n">
        <v>879.70263671875</v>
      </c>
    </row>
    <row r="2879" customFormat="false" ht="15" hidden="false" customHeight="false" outlineLevel="0" collapsed="false">
      <c r="A2879" s="148" t="n">
        <v>43483</v>
      </c>
      <c r="B2879" s="37" t="n">
        <v>849.712768554688</v>
      </c>
    </row>
    <row r="2880" customFormat="false" ht="15" hidden="false" customHeight="false" outlineLevel="0" collapsed="false">
      <c r="A2880" s="148" t="n">
        <v>43486</v>
      </c>
      <c r="B2880" s="37" t="n">
        <v>778.736755371094</v>
      </c>
    </row>
    <row r="2881" customFormat="false" ht="15" hidden="false" customHeight="false" outlineLevel="0" collapsed="false">
      <c r="A2881" s="148" t="n">
        <v>43487</v>
      </c>
      <c r="B2881" s="37" t="n">
        <v>822.721923828125</v>
      </c>
    </row>
    <row r="2882" customFormat="false" ht="15" hidden="false" customHeight="false" outlineLevel="0" collapsed="false">
      <c r="A2882" s="148" t="n">
        <v>43488</v>
      </c>
      <c r="B2882" s="37" t="n">
        <v>879.70263671875</v>
      </c>
    </row>
    <row r="2883" customFormat="false" ht="15" hidden="false" customHeight="false" outlineLevel="0" collapsed="false">
      <c r="A2883" s="148" t="n">
        <v>43489</v>
      </c>
      <c r="B2883" s="37" t="n">
        <v>763.741821289063</v>
      </c>
    </row>
    <row r="2884" customFormat="false" ht="15" hidden="false" customHeight="false" outlineLevel="0" collapsed="false">
      <c r="A2884" s="148" t="n">
        <v>43490</v>
      </c>
      <c r="B2884" s="37" t="n">
        <v>759.7431640625</v>
      </c>
    </row>
    <row r="2885" customFormat="false" ht="15" hidden="false" customHeight="false" outlineLevel="0" collapsed="false">
      <c r="A2885" s="148" t="n">
        <v>43493</v>
      </c>
      <c r="B2885" s="37" t="n">
        <v>772.73876953125</v>
      </c>
    </row>
    <row r="2886" customFormat="false" ht="15" hidden="false" customHeight="false" outlineLevel="0" collapsed="false">
      <c r="A2886" s="148" t="n">
        <v>43494</v>
      </c>
      <c r="B2886" s="37" t="n">
        <v>798.72998046875</v>
      </c>
    </row>
    <row r="2887" customFormat="false" ht="15" hidden="false" customHeight="false" outlineLevel="0" collapsed="false">
      <c r="A2887" s="148" t="n">
        <v>43495</v>
      </c>
      <c r="B2887" s="37" t="n">
        <v>799.729614257813</v>
      </c>
    </row>
    <row r="2888" customFormat="false" ht="15" hidden="false" customHeight="false" outlineLevel="0" collapsed="false">
      <c r="A2888" s="148" t="n">
        <v>43496</v>
      </c>
      <c r="B2888" s="37" t="n">
        <v>879.70263671875</v>
      </c>
    </row>
    <row r="2889" customFormat="false" ht="15" hidden="false" customHeight="false" outlineLevel="0" collapsed="false">
      <c r="A2889" s="148" t="n">
        <v>43497</v>
      </c>
      <c r="B2889" s="37" t="n">
        <v>878.702941894531</v>
      </c>
    </row>
    <row r="2890" customFormat="false" ht="15" hidden="false" customHeight="false" outlineLevel="0" collapsed="false">
      <c r="A2890" s="148" t="n">
        <v>43500</v>
      </c>
      <c r="B2890" s="37" t="n">
        <v>899.695861816406</v>
      </c>
    </row>
    <row r="2891" customFormat="false" ht="15" hidden="false" customHeight="false" outlineLevel="0" collapsed="false">
      <c r="A2891" s="148" t="n">
        <v>43501</v>
      </c>
      <c r="B2891" s="37" t="n">
        <v>899.695861816406</v>
      </c>
    </row>
    <row r="2892" customFormat="false" ht="15" hidden="false" customHeight="false" outlineLevel="0" collapsed="false">
      <c r="A2892" s="148" t="n">
        <v>43502</v>
      </c>
      <c r="B2892" s="37" t="n">
        <v>899.695861816406</v>
      </c>
    </row>
    <row r="2893" customFormat="false" ht="15" hidden="false" customHeight="false" outlineLevel="0" collapsed="false">
      <c r="A2893" s="148" t="n">
        <v>43503</v>
      </c>
      <c r="B2893" s="37" t="n">
        <v>877.703308105469</v>
      </c>
    </row>
    <row r="2894" customFormat="false" ht="15" hidden="false" customHeight="false" outlineLevel="0" collapsed="false">
      <c r="A2894" s="148" t="n">
        <v>43504</v>
      </c>
      <c r="B2894" s="37" t="n">
        <v>868.706359863281</v>
      </c>
    </row>
    <row r="2895" customFormat="false" ht="15" hidden="false" customHeight="false" outlineLevel="0" collapsed="false">
      <c r="A2895" s="148" t="n">
        <v>43507</v>
      </c>
      <c r="B2895" s="37" t="n">
        <v>839.716125488281</v>
      </c>
    </row>
    <row r="2896" customFormat="false" ht="15" hidden="false" customHeight="false" outlineLevel="0" collapsed="false">
      <c r="A2896" s="148" t="n">
        <v>43508</v>
      </c>
      <c r="B2896" s="37" t="n">
        <v>789.733032226563</v>
      </c>
    </row>
    <row r="2897" customFormat="false" ht="15" hidden="false" customHeight="false" outlineLevel="0" collapsed="false">
      <c r="A2897" s="148" t="n">
        <v>43509</v>
      </c>
      <c r="B2897" s="37" t="n">
        <v>829.719482421875</v>
      </c>
    </row>
    <row r="2898" customFormat="false" ht="15" hidden="false" customHeight="false" outlineLevel="0" collapsed="false">
      <c r="A2898" s="148" t="n">
        <v>43510</v>
      </c>
      <c r="B2898" s="37" t="n">
        <v>829.719482421875</v>
      </c>
    </row>
    <row r="2899" customFormat="false" ht="15" hidden="false" customHeight="false" outlineLevel="0" collapsed="false">
      <c r="A2899" s="148" t="n">
        <v>43511</v>
      </c>
      <c r="B2899" s="37" t="n">
        <v>799.729614257813</v>
      </c>
    </row>
    <row r="2900" customFormat="false" ht="15" hidden="false" customHeight="false" outlineLevel="0" collapsed="false">
      <c r="A2900" s="148" t="n">
        <v>43514</v>
      </c>
      <c r="B2900" s="37" t="n">
        <v>799.729614257813</v>
      </c>
    </row>
    <row r="2901" customFormat="false" ht="15" hidden="false" customHeight="false" outlineLevel="0" collapsed="false">
      <c r="A2901" s="148" t="n">
        <v>43515</v>
      </c>
      <c r="B2901" s="37" t="n">
        <v>796.730712890625</v>
      </c>
    </row>
    <row r="2902" customFormat="false" ht="15" hidden="false" customHeight="false" outlineLevel="0" collapsed="false">
      <c r="A2902" s="148" t="n">
        <v>43516</v>
      </c>
      <c r="B2902" s="37" t="n">
        <v>798.72998046875</v>
      </c>
    </row>
    <row r="2903" customFormat="false" ht="15" hidden="false" customHeight="false" outlineLevel="0" collapsed="false">
      <c r="A2903" s="148" t="n">
        <v>43517</v>
      </c>
      <c r="B2903" s="37" t="n">
        <v>789.733032226563</v>
      </c>
    </row>
    <row r="2904" customFormat="false" ht="15" hidden="false" customHeight="false" outlineLevel="0" collapsed="false">
      <c r="A2904" s="148" t="n">
        <v>43518</v>
      </c>
      <c r="B2904" s="37" t="n">
        <v>747.747253417969</v>
      </c>
    </row>
    <row r="2905" customFormat="false" ht="15" hidden="false" customHeight="false" outlineLevel="0" collapsed="false">
      <c r="A2905" s="148" t="n">
        <v>43521</v>
      </c>
      <c r="B2905" s="37" t="n">
        <v>768.740112304688</v>
      </c>
    </row>
    <row r="2906" customFormat="false" ht="15" hidden="false" customHeight="false" outlineLevel="0" collapsed="false">
      <c r="A2906" s="148" t="n">
        <v>43522</v>
      </c>
      <c r="B2906" s="37" t="n">
        <v>898.696228027344</v>
      </c>
    </row>
    <row r="2907" customFormat="false" ht="15" hidden="false" customHeight="false" outlineLevel="0" collapsed="false">
      <c r="A2907" s="148" t="n">
        <v>43523</v>
      </c>
      <c r="B2907" s="37" t="n">
        <v>898.696228027344</v>
      </c>
    </row>
    <row r="2908" customFormat="false" ht="15" hidden="false" customHeight="false" outlineLevel="0" collapsed="false">
      <c r="A2908" s="148" t="n">
        <v>43524</v>
      </c>
      <c r="B2908" s="37" t="n">
        <v>874.704284667969</v>
      </c>
    </row>
    <row r="2909" customFormat="false" ht="15" hidden="false" customHeight="false" outlineLevel="0" collapsed="false">
      <c r="A2909" s="148" t="n">
        <v>43525</v>
      </c>
      <c r="B2909" s="37" t="n">
        <v>796.730712890625</v>
      </c>
    </row>
    <row r="2910" customFormat="false" ht="15" hidden="false" customHeight="false" outlineLevel="0" collapsed="false">
      <c r="A2910" s="148" t="n">
        <v>43528</v>
      </c>
      <c r="B2910" s="37" t="n">
        <v>855.710754394531</v>
      </c>
    </row>
    <row r="2911" customFormat="false" ht="15" hidden="false" customHeight="false" outlineLevel="0" collapsed="false">
      <c r="A2911" s="148" t="n">
        <v>43529</v>
      </c>
      <c r="B2911" s="37" t="n">
        <v>859.709350585938</v>
      </c>
    </row>
    <row r="2912" customFormat="false" ht="15" hidden="false" customHeight="false" outlineLevel="0" collapsed="false">
      <c r="A2912" s="148" t="n">
        <v>43530</v>
      </c>
      <c r="B2912" s="37" t="n">
        <v>831.718872070313</v>
      </c>
    </row>
    <row r="2913" customFormat="false" ht="15" hidden="false" customHeight="false" outlineLevel="0" collapsed="false">
      <c r="A2913" s="148" t="n">
        <v>43531</v>
      </c>
      <c r="B2913" s="37" t="n">
        <v>859.709350585938</v>
      </c>
    </row>
    <row r="2914" customFormat="false" ht="15" hidden="false" customHeight="false" outlineLevel="0" collapsed="false">
      <c r="A2914" s="148" t="n">
        <v>43532</v>
      </c>
      <c r="B2914" s="37" t="n">
        <v>849.712768554688</v>
      </c>
    </row>
    <row r="2915" customFormat="false" ht="15" hidden="false" customHeight="false" outlineLevel="0" collapsed="false">
      <c r="A2915" s="148" t="n">
        <v>43535</v>
      </c>
      <c r="B2915" s="37" t="n">
        <v>849.712768554688</v>
      </c>
    </row>
    <row r="2916" customFormat="false" ht="15" hidden="false" customHeight="false" outlineLevel="0" collapsed="false">
      <c r="A2916" s="148" t="n">
        <v>43536</v>
      </c>
      <c r="B2916" s="37" t="n">
        <v>849.712768554688</v>
      </c>
    </row>
    <row r="2917" customFormat="false" ht="15" hidden="false" customHeight="false" outlineLevel="0" collapsed="false">
      <c r="A2917" s="148" t="n">
        <v>43537</v>
      </c>
      <c r="B2917" s="37" t="n">
        <v>849.712768554688</v>
      </c>
    </row>
    <row r="2918" customFormat="false" ht="15" hidden="false" customHeight="false" outlineLevel="0" collapsed="false">
      <c r="A2918" s="148" t="n">
        <v>43538</v>
      </c>
      <c r="B2918" s="37" t="n">
        <v>799.729614257813</v>
      </c>
    </row>
    <row r="2919" customFormat="false" ht="15" hidden="false" customHeight="false" outlineLevel="0" collapsed="false">
      <c r="A2919" s="148" t="n">
        <v>43539</v>
      </c>
      <c r="B2919" s="37" t="n">
        <v>774.738098144531</v>
      </c>
    </row>
    <row r="2920" customFormat="false" ht="15" hidden="false" customHeight="false" outlineLevel="0" collapsed="false">
      <c r="A2920" s="148" t="n">
        <v>43542</v>
      </c>
      <c r="B2920" s="37" t="n">
        <v>729.753356933594</v>
      </c>
    </row>
    <row r="2921" customFormat="false" ht="15" hidden="false" customHeight="false" outlineLevel="0" collapsed="false">
      <c r="A2921" s="148" t="n">
        <v>43543</v>
      </c>
      <c r="B2921" s="37" t="n">
        <v>749.746520996094</v>
      </c>
    </row>
    <row r="2922" customFormat="false" ht="15" hidden="false" customHeight="false" outlineLevel="0" collapsed="false">
      <c r="A2922" s="148" t="n">
        <v>43544</v>
      </c>
      <c r="B2922" s="37" t="n">
        <v>749.746520996094</v>
      </c>
    </row>
    <row r="2923" customFormat="false" ht="15" hidden="false" customHeight="false" outlineLevel="0" collapsed="false">
      <c r="A2923" s="148" t="n">
        <v>43546</v>
      </c>
      <c r="B2923" s="37" t="n">
        <v>649.780395507813</v>
      </c>
    </row>
    <row r="2924" customFormat="false" ht="15" hidden="false" customHeight="false" outlineLevel="0" collapsed="false">
      <c r="A2924" s="148" t="n">
        <v>43549</v>
      </c>
      <c r="B2924" s="37" t="n">
        <v>649.780395507813</v>
      </c>
    </row>
    <row r="2925" customFormat="false" ht="15" hidden="false" customHeight="false" outlineLevel="0" collapsed="false">
      <c r="A2925" s="148" t="n">
        <v>43550</v>
      </c>
      <c r="B2925" s="37" t="n">
        <v>639.78369140625</v>
      </c>
    </row>
    <row r="2926" customFormat="false" ht="15" hidden="false" customHeight="false" outlineLevel="0" collapsed="false">
      <c r="A2926" s="148" t="n">
        <v>43551</v>
      </c>
      <c r="B2926" s="37" t="n">
        <v>639.78369140625</v>
      </c>
    </row>
    <row r="2927" customFormat="false" ht="15" hidden="false" customHeight="false" outlineLevel="0" collapsed="false">
      <c r="A2927" s="148" t="n">
        <v>43552</v>
      </c>
      <c r="B2927" s="37" t="n">
        <v>530.820556640625</v>
      </c>
    </row>
    <row r="2928" customFormat="false" ht="15" hidden="false" customHeight="false" outlineLevel="0" collapsed="false">
      <c r="A2928" s="148" t="n">
        <v>43553</v>
      </c>
      <c r="B2928" s="37" t="n">
        <v>614.792175292969</v>
      </c>
    </row>
    <row r="2929" customFormat="false" ht="15" hidden="false" customHeight="false" outlineLevel="0" collapsed="false">
      <c r="A2929" s="148" t="n">
        <v>43556</v>
      </c>
      <c r="B2929" s="37" t="n">
        <v>569.807434082031</v>
      </c>
    </row>
    <row r="2930" customFormat="false" ht="15" hidden="false" customHeight="false" outlineLevel="0" collapsed="false">
      <c r="A2930" s="148" t="n">
        <v>43557</v>
      </c>
      <c r="B2930" s="37" t="n">
        <v>619.790466308594</v>
      </c>
    </row>
    <row r="2931" customFormat="false" ht="15" hidden="false" customHeight="false" outlineLevel="0" collapsed="false">
      <c r="A2931" s="148" t="n">
        <v>43558</v>
      </c>
      <c r="B2931" s="37" t="n">
        <v>619.790466308594</v>
      </c>
    </row>
    <row r="2932" customFormat="false" ht="15" hidden="false" customHeight="false" outlineLevel="0" collapsed="false">
      <c r="A2932" s="148" t="n">
        <v>43559</v>
      </c>
      <c r="B2932" s="37" t="n">
        <v>619.790466308594</v>
      </c>
    </row>
    <row r="2933" customFormat="false" ht="15" hidden="false" customHeight="false" outlineLevel="0" collapsed="false">
      <c r="A2933" s="148" t="n">
        <v>43560</v>
      </c>
      <c r="B2933" s="37" t="n">
        <v>619.790466308594</v>
      </c>
    </row>
    <row r="2934" customFormat="false" ht="15" hidden="false" customHeight="false" outlineLevel="0" collapsed="false">
      <c r="A2934" s="148" t="n">
        <v>43563</v>
      </c>
      <c r="B2934" s="37" t="n">
        <v>619.790466308594</v>
      </c>
    </row>
    <row r="2935" customFormat="false" ht="15" hidden="false" customHeight="false" outlineLevel="0" collapsed="false">
      <c r="A2935" s="148" t="n">
        <v>43564</v>
      </c>
      <c r="B2935" s="37" t="n">
        <v>599.797241210938</v>
      </c>
    </row>
    <row r="2936" customFormat="false" ht="15" hidden="false" customHeight="false" outlineLevel="0" collapsed="false">
      <c r="A2936" s="148" t="n">
        <v>43565</v>
      </c>
      <c r="B2936" s="37" t="n">
        <v>599.797241210938</v>
      </c>
    </row>
    <row r="2937" customFormat="false" ht="15" hidden="false" customHeight="false" outlineLevel="0" collapsed="false">
      <c r="A2937" s="148" t="n">
        <v>43566</v>
      </c>
      <c r="B2937" s="37" t="n">
        <v>549.814147949219</v>
      </c>
    </row>
    <row r="2938" customFormat="false" ht="15" hidden="false" customHeight="false" outlineLevel="0" collapsed="false">
      <c r="A2938" s="148" t="n">
        <v>43567</v>
      </c>
      <c r="B2938" s="37" t="n">
        <v>554.812438964844</v>
      </c>
    </row>
    <row r="2939" customFormat="false" ht="15" hidden="false" customHeight="false" outlineLevel="0" collapsed="false">
      <c r="A2939" s="148" t="n">
        <v>43570</v>
      </c>
      <c r="B2939" s="37" t="n">
        <v>564.809020996094</v>
      </c>
    </row>
    <row r="2940" customFormat="false" ht="15" hidden="false" customHeight="false" outlineLevel="0" collapsed="false">
      <c r="A2940" s="148" t="n">
        <v>43571</v>
      </c>
      <c r="B2940" s="37" t="n">
        <v>549.814147949219</v>
      </c>
    </row>
    <row r="2941" customFormat="false" ht="15" hidden="false" customHeight="false" outlineLevel="0" collapsed="false">
      <c r="A2941" s="148" t="n">
        <v>43572</v>
      </c>
      <c r="B2941" s="37" t="n">
        <v>564.809020996094</v>
      </c>
    </row>
    <row r="2942" customFormat="false" ht="15" hidden="false" customHeight="false" outlineLevel="0" collapsed="false">
      <c r="A2942" s="148" t="n">
        <v>43573</v>
      </c>
      <c r="B2942" s="37" t="n">
        <v>564.809020996094</v>
      </c>
    </row>
    <row r="2943" customFormat="false" ht="15" hidden="false" customHeight="false" outlineLevel="0" collapsed="false">
      <c r="A2943" s="148" t="n">
        <v>43578</v>
      </c>
      <c r="B2943" s="37" t="n">
        <v>564.809020996094</v>
      </c>
    </row>
    <row r="2944" customFormat="false" ht="15" hidden="false" customHeight="false" outlineLevel="0" collapsed="false">
      <c r="A2944" s="148" t="n">
        <v>43579</v>
      </c>
      <c r="B2944" s="37" t="n">
        <v>564.809020996094</v>
      </c>
    </row>
    <row r="2945" customFormat="false" ht="15" hidden="false" customHeight="false" outlineLevel="0" collapsed="false">
      <c r="A2945" s="148" t="n">
        <v>43580</v>
      </c>
      <c r="B2945" s="37" t="n">
        <v>564.809020996094</v>
      </c>
    </row>
    <row r="2946" customFormat="false" ht="15" hidden="false" customHeight="false" outlineLevel="0" collapsed="false">
      <c r="A2946" s="148" t="n">
        <v>43581</v>
      </c>
      <c r="B2946" s="37" t="n">
        <v>599.797241210938</v>
      </c>
    </row>
    <row r="2947" customFormat="false" ht="15" hidden="false" customHeight="false" outlineLevel="0" collapsed="false">
      <c r="A2947" s="148" t="n">
        <v>43584</v>
      </c>
      <c r="B2947" s="37" t="n">
        <v>599.797241210938</v>
      </c>
    </row>
    <row r="2948" customFormat="false" ht="15" hidden="false" customHeight="false" outlineLevel="0" collapsed="false">
      <c r="A2948" s="148" t="n">
        <v>43585</v>
      </c>
      <c r="B2948" s="37" t="n">
        <v>599.797241210938</v>
      </c>
    </row>
    <row r="2949" customFormat="false" ht="15" hidden="false" customHeight="false" outlineLevel="0" collapsed="false">
      <c r="A2949" s="148" t="n">
        <v>43587</v>
      </c>
      <c r="B2949" s="37" t="n">
        <v>599.797241210938</v>
      </c>
    </row>
    <row r="2950" customFormat="false" ht="15" hidden="false" customHeight="false" outlineLevel="0" collapsed="false">
      <c r="A2950" s="148" t="n">
        <v>43588</v>
      </c>
      <c r="B2950" s="37" t="n">
        <v>549.814147949219</v>
      </c>
    </row>
    <row r="2951" customFormat="false" ht="15" hidden="false" customHeight="false" outlineLevel="0" collapsed="false">
      <c r="A2951" s="148" t="n">
        <v>43591</v>
      </c>
      <c r="B2951" s="37" t="n">
        <v>599.797241210938</v>
      </c>
    </row>
    <row r="2952" customFormat="false" ht="15" hidden="false" customHeight="false" outlineLevel="0" collapsed="false">
      <c r="A2952" s="148" t="n">
        <v>43592</v>
      </c>
      <c r="B2952" s="37" t="n">
        <v>549.814147949219</v>
      </c>
    </row>
    <row r="2953" customFormat="false" ht="15" hidden="false" customHeight="false" outlineLevel="0" collapsed="false">
      <c r="A2953" s="148" t="n">
        <v>43594</v>
      </c>
      <c r="B2953" s="37" t="n">
        <v>599.797241210938</v>
      </c>
    </row>
    <row r="2954" customFormat="false" ht="15" hidden="false" customHeight="false" outlineLevel="0" collapsed="false">
      <c r="A2954" s="148" t="n">
        <v>43595</v>
      </c>
      <c r="B2954" s="37" t="n">
        <v>594.798889160156</v>
      </c>
    </row>
    <row r="2955" customFormat="false" ht="15" hidden="false" customHeight="false" outlineLevel="0" collapsed="false">
      <c r="A2955" s="148" t="n">
        <v>43598</v>
      </c>
      <c r="B2955" s="37" t="n">
        <v>594.798889160156</v>
      </c>
    </row>
    <row r="2956" customFormat="false" ht="15" hidden="false" customHeight="false" outlineLevel="0" collapsed="false">
      <c r="A2956" s="148" t="n">
        <v>43599</v>
      </c>
      <c r="B2956" s="37" t="n">
        <v>624.788818359375</v>
      </c>
    </row>
    <row r="2957" customFormat="false" ht="15" hidden="false" customHeight="false" outlineLevel="0" collapsed="false">
      <c r="A2957" s="148" t="n">
        <v>43600</v>
      </c>
      <c r="B2957" s="37" t="n">
        <v>749.746520996094</v>
      </c>
    </row>
    <row r="2958" customFormat="false" ht="15" hidden="false" customHeight="false" outlineLevel="0" collapsed="false">
      <c r="A2958" s="148" t="n">
        <v>43601</v>
      </c>
      <c r="B2958" s="37" t="n">
        <v>648.780639648438</v>
      </c>
    </row>
    <row r="2959" customFormat="false" ht="15" hidden="false" customHeight="false" outlineLevel="0" collapsed="false">
      <c r="A2959" s="148" t="n">
        <v>43602</v>
      </c>
      <c r="B2959" s="37" t="n">
        <v>648.780639648438</v>
      </c>
    </row>
    <row r="2960" customFormat="false" ht="15" hidden="false" customHeight="false" outlineLevel="0" collapsed="false">
      <c r="A2960" s="148" t="n">
        <v>43605</v>
      </c>
      <c r="B2960" s="37" t="n">
        <v>612.792846679688</v>
      </c>
    </row>
    <row r="2961" customFormat="false" ht="15" hidden="false" customHeight="false" outlineLevel="0" collapsed="false">
      <c r="A2961" s="148" t="n">
        <v>43606</v>
      </c>
      <c r="B2961" s="37" t="n">
        <v>637.784423828125</v>
      </c>
    </row>
    <row r="2962" customFormat="false" ht="15" hidden="false" customHeight="false" outlineLevel="0" collapsed="false">
      <c r="A2962" s="148" t="n">
        <v>43607</v>
      </c>
      <c r="B2962" s="37" t="n">
        <v>604.795532226563</v>
      </c>
    </row>
    <row r="2963" customFormat="false" ht="15" hidden="false" customHeight="false" outlineLevel="0" collapsed="false">
      <c r="A2963" s="148" t="n">
        <v>43608</v>
      </c>
      <c r="B2963" s="37" t="n">
        <v>560.810424804688</v>
      </c>
    </row>
    <row r="2964" customFormat="false" ht="15" hidden="false" customHeight="false" outlineLevel="0" collapsed="false">
      <c r="A2964" s="148" t="n">
        <v>43609</v>
      </c>
      <c r="B2964" s="37" t="n">
        <v>617.791137695313</v>
      </c>
    </row>
    <row r="2965" customFormat="false" ht="15" hidden="false" customHeight="false" outlineLevel="0" collapsed="false">
      <c r="A2965" s="148" t="n">
        <v>43612</v>
      </c>
      <c r="B2965" s="37" t="n">
        <v>617.791137695313</v>
      </c>
    </row>
    <row r="2966" customFormat="false" ht="15" hidden="false" customHeight="false" outlineLevel="0" collapsed="false">
      <c r="A2966" s="148" t="n">
        <v>43613</v>
      </c>
      <c r="B2966" s="37" t="n">
        <v>617.791137695313</v>
      </c>
    </row>
    <row r="2967" customFormat="false" ht="15" hidden="false" customHeight="false" outlineLevel="0" collapsed="false">
      <c r="A2967" s="148" t="n">
        <v>43614</v>
      </c>
      <c r="B2967" s="37" t="n">
        <v>617.791137695313</v>
      </c>
    </row>
    <row r="2968" customFormat="false" ht="15" hidden="false" customHeight="false" outlineLevel="0" collapsed="false">
      <c r="A2968" s="148" t="n">
        <v>43615</v>
      </c>
      <c r="B2968" s="37" t="n">
        <v>613.792541503906</v>
      </c>
    </row>
    <row r="2969" customFormat="false" ht="15" hidden="false" customHeight="false" outlineLevel="0" collapsed="false">
      <c r="A2969" s="148" t="n">
        <v>43616</v>
      </c>
      <c r="B2969" s="37" t="n">
        <v>616.79150390625</v>
      </c>
    </row>
    <row r="2970" customFormat="false" ht="15" hidden="false" customHeight="false" outlineLevel="0" collapsed="false">
      <c r="A2970" s="148" t="n">
        <v>43619</v>
      </c>
      <c r="B2970" s="37" t="n">
        <v>617.791137695313</v>
      </c>
    </row>
    <row r="2971" customFormat="false" ht="15" hidden="false" customHeight="false" outlineLevel="0" collapsed="false">
      <c r="A2971" s="148" t="n">
        <v>43620</v>
      </c>
      <c r="B2971" s="37" t="n">
        <v>672.772583007813</v>
      </c>
    </row>
    <row r="2972" customFormat="false" ht="15" hidden="false" customHeight="false" outlineLevel="0" collapsed="false">
      <c r="A2972" s="148" t="n">
        <v>43621</v>
      </c>
      <c r="B2972" s="37" t="n">
        <v>679.770202636719</v>
      </c>
    </row>
    <row r="2973" customFormat="false" ht="15" hidden="false" customHeight="false" outlineLevel="0" collapsed="false">
      <c r="A2973" s="148" t="n">
        <v>43622</v>
      </c>
      <c r="B2973" s="37" t="n">
        <v>739.749938964844</v>
      </c>
    </row>
    <row r="2974" customFormat="false" ht="15" hidden="false" customHeight="false" outlineLevel="0" collapsed="false">
      <c r="A2974" s="148" t="n">
        <v>43623</v>
      </c>
      <c r="B2974" s="37" t="n">
        <v>714.758361816406</v>
      </c>
    </row>
    <row r="2975" customFormat="false" ht="15" hidden="false" customHeight="false" outlineLevel="0" collapsed="false">
      <c r="A2975" s="148" t="n">
        <v>43626</v>
      </c>
      <c r="B2975" s="37" t="n">
        <v>669.773559570313</v>
      </c>
    </row>
    <row r="2976" customFormat="false" ht="15" hidden="false" customHeight="false" outlineLevel="0" collapsed="false">
      <c r="A2976" s="148" t="n">
        <v>43627</v>
      </c>
      <c r="B2976" s="37" t="n">
        <v>680.769897460938</v>
      </c>
    </row>
    <row r="2977" customFormat="false" ht="15" hidden="false" customHeight="false" outlineLevel="0" collapsed="false">
      <c r="A2977" s="148" t="n">
        <v>43628</v>
      </c>
      <c r="B2977" s="37" t="n">
        <v>599.797241210938</v>
      </c>
    </row>
    <row r="2978" customFormat="false" ht="15" hidden="false" customHeight="false" outlineLevel="0" collapsed="false">
      <c r="A2978" s="148" t="n">
        <v>43629</v>
      </c>
      <c r="B2978" s="37" t="n">
        <v>567.808044433594</v>
      </c>
    </row>
    <row r="2979" customFormat="false" ht="15" hidden="false" customHeight="false" outlineLevel="0" collapsed="false">
      <c r="A2979" s="148" t="n">
        <v>43630</v>
      </c>
      <c r="B2979" s="37" t="n">
        <v>575.805358886719</v>
      </c>
    </row>
    <row r="2980" customFormat="false" ht="15" hidden="false" customHeight="false" outlineLevel="0" collapsed="false">
      <c r="A2980" s="148" t="n">
        <v>43634</v>
      </c>
      <c r="B2980" s="37" t="n">
        <v>598.797546386719</v>
      </c>
    </row>
    <row r="2981" customFormat="false" ht="15" hidden="false" customHeight="false" outlineLevel="0" collapsed="false">
      <c r="A2981" s="148" t="n">
        <v>43635</v>
      </c>
      <c r="B2981" s="37" t="n">
        <v>581.803283691406</v>
      </c>
    </row>
    <row r="2982" customFormat="false" ht="15" hidden="false" customHeight="false" outlineLevel="0" collapsed="false">
      <c r="A2982" s="148" t="n">
        <v>43636</v>
      </c>
      <c r="B2982" s="37" t="n">
        <v>499.8310546875</v>
      </c>
    </row>
    <row r="2983" customFormat="false" ht="15" hidden="false" customHeight="false" outlineLevel="0" collapsed="false">
      <c r="A2983" s="148" t="n">
        <v>43637</v>
      </c>
      <c r="B2983" s="37" t="n">
        <v>495.832397460938</v>
      </c>
    </row>
    <row r="2984" customFormat="false" ht="15" hidden="false" customHeight="false" outlineLevel="0" collapsed="false">
      <c r="A2984" s="148" t="n">
        <v>43640</v>
      </c>
      <c r="B2984" s="37" t="n">
        <v>472.840148925781</v>
      </c>
    </row>
    <row r="2985" customFormat="false" ht="15" hidden="false" customHeight="false" outlineLevel="0" collapsed="false">
      <c r="A2985" s="148" t="n">
        <v>43641</v>
      </c>
      <c r="B2985" s="37" t="n">
        <v>598.797546386719</v>
      </c>
    </row>
    <row r="2986" customFormat="false" ht="15" hidden="false" customHeight="false" outlineLevel="0" collapsed="false">
      <c r="A2986" s="148" t="n">
        <v>43642</v>
      </c>
      <c r="B2986" s="37" t="n">
        <v>591.799987792969</v>
      </c>
    </row>
    <row r="2987" customFormat="false" ht="15" hidden="false" customHeight="false" outlineLevel="0" collapsed="false">
      <c r="A2987" s="148" t="n">
        <v>43643</v>
      </c>
      <c r="B2987" s="37" t="n">
        <v>577.804626464844</v>
      </c>
    </row>
    <row r="2988" customFormat="false" ht="15" hidden="false" customHeight="false" outlineLevel="0" collapsed="false">
      <c r="A2988" s="148" t="n">
        <v>43644</v>
      </c>
      <c r="B2988" s="37" t="n">
        <v>599.797241210938</v>
      </c>
    </row>
    <row r="2989" customFormat="false" ht="15" hidden="false" customHeight="false" outlineLevel="0" collapsed="false">
      <c r="A2989" s="148" t="n">
        <v>43647</v>
      </c>
      <c r="B2989" s="37" t="n">
        <v>566.808410644531</v>
      </c>
    </row>
    <row r="2990" customFormat="false" ht="15" hidden="false" customHeight="false" outlineLevel="0" collapsed="false">
      <c r="A2990" s="148" t="n">
        <v>43648</v>
      </c>
      <c r="B2990" s="37" t="n">
        <v>569.807434082031</v>
      </c>
    </row>
    <row r="2991" customFormat="false" ht="15" hidden="false" customHeight="false" outlineLevel="0" collapsed="false">
      <c r="A2991" s="148" t="n">
        <v>43649</v>
      </c>
      <c r="B2991" s="37" t="n">
        <v>534.819213867188</v>
      </c>
    </row>
    <row r="2992" customFormat="false" ht="15" hidden="false" customHeight="false" outlineLevel="0" collapsed="false">
      <c r="A2992" s="148" t="n">
        <v>43650</v>
      </c>
      <c r="B2992" s="37" t="n">
        <v>464.842864990234</v>
      </c>
    </row>
    <row r="2993" customFormat="false" ht="15" hidden="false" customHeight="false" outlineLevel="0" collapsed="false">
      <c r="A2993" s="148" t="n">
        <v>43651</v>
      </c>
      <c r="B2993" s="37" t="n">
        <v>476.838806152344</v>
      </c>
    </row>
    <row r="2994" customFormat="false" ht="15" hidden="false" customHeight="false" outlineLevel="0" collapsed="false">
      <c r="A2994" s="148" t="n">
        <v>43654</v>
      </c>
      <c r="B2994" s="37" t="n">
        <v>499.8310546875</v>
      </c>
    </row>
    <row r="2995" customFormat="false" ht="15" hidden="false" customHeight="false" outlineLevel="0" collapsed="false">
      <c r="A2995" s="148" t="n">
        <v>43655</v>
      </c>
      <c r="B2995" s="37" t="n">
        <v>510.827331542969</v>
      </c>
    </row>
    <row r="2996" customFormat="false" ht="15" hidden="false" customHeight="false" outlineLevel="0" collapsed="false">
      <c r="A2996" s="148" t="n">
        <v>43656</v>
      </c>
      <c r="B2996" s="37" t="n">
        <v>529.820922851563</v>
      </c>
    </row>
    <row r="2997" customFormat="false" ht="15" hidden="false" customHeight="false" outlineLevel="0" collapsed="false">
      <c r="A2997" s="148" t="n">
        <v>43657</v>
      </c>
      <c r="B2997" s="37" t="n">
        <v>484.836120605469</v>
      </c>
    </row>
    <row r="2998" customFormat="false" ht="15" hidden="false" customHeight="false" outlineLevel="0" collapsed="false">
      <c r="A2998" s="148" t="n">
        <v>43658</v>
      </c>
      <c r="B2998" s="37" t="n">
        <v>451.847259521484</v>
      </c>
    </row>
    <row r="2999" customFormat="false" ht="15" hidden="false" customHeight="false" outlineLevel="0" collapsed="false">
      <c r="A2999" s="148" t="n">
        <v>43661</v>
      </c>
      <c r="B2999" s="37" t="n">
        <v>410.861083984375</v>
      </c>
    </row>
    <row r="3000" customFormat="false" ht="15" hidden="false" customHeight="false" outlineLevel="0" collapsed="false">
      <c r="A3000" s="148" t="n">
        <v>43662</v>
      </c>
      <c r="B3000" s="37" t="n">
        <v>454.846221923828</v>
      </c>
    </row>
    <row r="3001" customFormat="false" ht="15" hidden="false" customHeight="false" outlineLevel="0" collapsed="false">
      <c r="A3001" s="148" t="n">
        <v>43663</v>
      </c>
      <c r="B3001" s="37" t="n">
        <v>415.859436035156</v>
      </c>
    </row>
    <row r="3002" customFormat="false" ht="15" hidden="false" customHeight="false" outlineLevel="0" collapsed="false">
      <c r="A3002" s="148" t="n">
        <v>43664</v>
      </c>
      <c r="B3002" s="37" t="n">
        <v>439.851318359375</v>
      </c>
    </row>
    <row r="3003" customFormat="false" ht="15" hidden="false" customHeight="false" outlineLevel="0" collapsed="false">
      <c r="A3003" s="148" t="n">
        <v>43665</v>
      </c>
      <c r="B3003" s="37" t="n">
        <v>454.846221923828</v>
      </c>
    </row>
    <row r="3004" customFormat="false" ht="15" hidden="false" customHeight="false" outlineLevel="0" collapsed="false">
      <c r="A3004" s="148" t="n">
        <v>43668</v>
      </c>
      <c r="B3004" s="37" t="n">
        <v>437.851989746094</v>
      </c>
    </row>
    <row r="3005" customFormat="false" ht="15" hidden="false" customHeight="false" outlineLevel="0" collapsed="false">
      <c r="A3005" s="148" t="n">
        <v>43669</v>
      </c>
      <c r="B3005" s="37" t="n">
        <v>440.850982666016</v>
      </c>
    </row>
    <row r="3006" customFormat="false" ht="15" hidden="false" customHeight="false" outlineLevel="0" collapsed="false">
      <c r="A3006" s="148" t="n">
        <v>43670</v>
      </c>
      <c r="B3006" s="37" t="n">
        <v>452.846893310547</v>
      </c>
    </row>
    <row r="3007" customFormat="false" ht="15" hidden="false" customHeight="false" outlineLevel="0" collapsed="false">
      <c r="A3007" s="148" t="n">
        <v>43671</v>
      </c>
      <c r="B3007" s="37" t="n">
        <v>447.848602294922</v>
      </c>
    </row>
    <row r="3008" customFormat="false" ht="15" hidden="false" customHeight="false" outlineLevel="0" collapsed="false">
      <c r="A3008" s="148" t="n">
        <v>43672</v>
      </c>
      <c r="B3008" s="37" t="n">
        <v>447.848602294922</v>
      </c>
    </row>
    <row r="3009" customFormat="false" ht="15" hidden="false" customHeight="false" outlineLevel="0" collapsed="false">
      <c r="A3009" s="148" t="n">
        <v>43675</v>
      </c>
      <c r="B3009" s="37" t="n">
        <v>471.840484619141</v>
      </c>
    </row>
    <row r="3010" customFormat="false" ht="15" hidden="false" customHeight="false" outlineLevel="0" collapsed="false">
      <c r="A3010" s="148" t="n">
        <v>43676</v>
      </c>
      <c r="B3010" s="37" t="n">
        <v>434.852996826172</v>
      </c>
    </row>
    <row r="3011" customFormat="false" ht="15" hidden="false" customHeight="false" outlineLevel="0" collapsed="false">
      <c r="A3011" s="148" t="n">
        <v>43677</v>
      </c>
      <c r="B3011" s="37" t="n">
        <v>499.8310546875</v>
      </c>
    </row>
    <row r="3012" customFormat="false" ht="15" hidden="false" customHeight="false" outlineLevel="0" collapsed="false">
      <c r="A3012" s="148" t="n">
        <v>43678</v>
      </c>
      <c r="B3012" s="37" t="n">
        <v>483.83642578125</v>
      </c>
    </row>
    <row r="3013" customFormat="false" ht="15" hidden="false" customHeight="false" outlineLevel="0" collapsed="false">
      <c r="A3013" s="148" t="n">
        <v>43679</v>
      </c>
      <c r="B3013" s="37" t="n">
        <v>489.834411621094</v>
      </c>
    </row>
    <row r="3014" customFormat="false" ht="15" hidden="false" customHeight="false" outlineLevel="0" collapsed="false">
      <c r="A3014" s="148" t="n">
        <v>43682</v>
      </c>
      <c r="B3014" s="37" t="n">
        <v>489.834411621094</v>
      </c>
    </row>
    <row r="3015" customFormat="false" ht="15" hidden="false" customHeight="false" outlineLevel="0" collapsed="false">
      <c r="A3015" s="148" t="n">
        <v>43683</v>
      </c>
      <c r="B3015" s="37" t="n">
        <v>496.83203125</v>
      </c>
    </row>
    <row r="3016" customFormat="false" ht="15" hidden="false" customHeight="false" outlineLevel="0" collapsed="false">
      <c r="A3016" s="148" t="n">
        <v>43684</v>
      </c>
      <c r="B3016" s="37" t="n">
        <v>499.8310546875</v>
      </c>
    </row>
    <row r="3017" customFormat="false" ht="15" hidden="false" customHeight="false" outlineLevel="0" collapsed="false">
      <c r="A3017" s="148" t="n">
        <v>43685</v>
      </c>
      <c r="B3017" s="37" t="n">
        <v>391.867523193359</v>
      </c>
    </row>
    <row r="3018" customFormat="false" ht="15" hidden="false" customHeight="false" outlineLevel="0" collapsed="false">
      <c r="A3018" s="148" t="n">
        <v>43689</v>
      </c>
      <c r="B3018" s="37" t="n">
        <v>489.834411621094</v>
      </c>
    </row>
    <row r="3019" customFormat="false" ht="15" hidden="false" customHeight="false" outlineLevel="0" collapsed="false">
      <c r="A3019" s="148" t="n">
        <v>43690</v>
      </c>
      <c r="B3019" s="37" t="n">
        <v>422.857055664063</v>
      </c>
    </row>
    <row r="3020" customFormat="false" ht="15" hidden="false" customHeight="false" outlineLevel="0" collapsed="false">
      <c r="A3020" s="148" t="n">
        <v>43691</v>
      </c>
      <c r="B3020" s="37" t="n">
        <v>497.831726074219</v>
      </c>
    </row>
    <row r="3021" customFormat="false" ht="15" hidden="false" customHeight="false" outlineLevel="0" collapsed="false">
      <c r="A3021" s="148" t="n">
        <v>43692</v>
      </c>
      <c r="B3021" s="37" t="n">
        <v>498.831359863281</v>
      </c>
    </row>
    <row r="3022" customFormat="false" ht="15" hidden="false" customHeight="false" outlineLevel="0" collapsed="false">
      <c r="A3022" s="148" t="n">
        <v>43693</v>
      </c>
      <c r="B3022" s="37" t="n">
        <v>498.831359863281</v>
      </c>
    </row>
    <row r="3023" customFormat="false" ht="15" hidden="false" customHeight="false" outlineLevel="0" collapsed="false">
      <c r="A3023" s="148" t="n">
        <v>43696</v>
      </c>
      <c r="B3023" s="37" t="n">
        <v>498.831359863281</v>
      </c>
    </row>
    <row r="3024" customFormat="false" ht="15" hidden="false" customHeight="false" outlineLevel="0" collapsed="false">
      <c r="A3024" s="148" t="n">
        <v>43697</v>
      </c>
      <c r="B3024" s="37" t="n">
        <v>499.8310546875</v>
      </c>
    </row>
    <row r="3025" customFormat="false" ht="15" hidden="false" customHeight="false" outlineLevel="0" collapsed="false">
      <c r="A3025" s="148" t="n">
        <v>43698</v>
      </c>
      <c r="B3025" s="37" t="n">
        <v>499.8310546875</v>
      </c>
    </row>
    <row r="3026" customFormat="false" ht="15" hidden="false" customHeight="false" outlineLevel="0" collapsed="false">
      <c r="A3026" s="148" t="n">
        <v>43699</v>
      </c>
      <c r="B3026" s="37" t="n">
        <v>499.8310546875</v>
      </c>
    </row>
    <row r="3027" customFormat="false" ht="15" hidden="false" customHeight="false" outlineLevel="0" collapsed="false">
      <c r="A3027" s="148" t="n">
        <v>43700</v>
      </c>
      <c r="B3027" s="37" t="n">
        <v>479.837799072266</v>
      </c>
    </row>
    <row r="3028" customFormat="false" ht="15" hidden="false" customHeight="false" outlineLevel="0" collapsed="false">
      <c r="A3028" s="148" t="n">
        <v>43703</v>
      </c>
      <c r="B3028" s="37" t="n">
        <v>479.837799072266</v>
      </c>
    </row>
    <row r="3029" customFormat="false" ht="15" hidden="false" customHeight="false" outlineLevel="0" collapsed="false">
      <c r="A3029" s="148" t="n">
        <v>43704</v>
      </c>
      <c r="B3029" s="37" t="n">
        <v>479.837799072266</v>
      </c>
    </row>
    <row r="3030" customFormat="false" ht="15" hidden="false" customHeight="false" outlineLevel="0" collapsed="false">
      <c r="A3030" s="148" t="n">
        <v>43705</v>
      </c>
      <c r="B3030" s="37" t="n">
        <v>479.837799072266</v>
      </c>
    </row>
    <row r="3031" customFormat="false" ht="15" hidden="false" customHeight="false" outlineLevel="0" collapsed="false">
      <c r="A3031" s="148" t="n">
        <v>43706</v>
      </c>
      <c r="B3031" s="37" t="n">
        <v>479.837799072266</v>
      </c>
    </row>
    <row r="3032" customFormat="false" ht="15" hidden="false" customHeight="false" outlineLevel="0" collapsed="false">
      <c r="A3032" s="148" t="n">
        <v>43707</v>
      </c>
      <c r="B3032" s="37" t="n">
        <v>434.852996826172</v>
      </c>
    </row>
    <row r="3033" customFormat="false" ht="15" hidden="false" customHeight="false" outlineLevel="0" collapsed="false">
      <c r="A3033" s="148" t="n">
        <v>43710</v>
      </c>
      <c r="B3033" s="37" t="n">
        <v>469.841186523438</v>
      </c>
    </row>
    <row r="3034" customFormat="false" ht="15" hidden="false" customHeight="false" outlineLevel="0" collapsed="false">
      <c r="A3034" s="148" t="n">
        <v>43711</v>
      </c>
      <c r="B3034" s="37" t="n">
        <v>478.838134765625</v>
      </c>
    </row>
    <row r="3035" customFormat="false" ht="15" hidden="false" customHeight="false" outlineLevel="0" collapsed="false">
      <c r="A3035" s="148" t="n">
        <v>43712</v>
      </c>
      <c r="B3035" s="37" t="n">
        <v>478.838134765625</v>
      </c>
    </row>
    <row r="3036" customFormat="false" ht="15" hidden="false" customHeight="false" outlineLevel="0" collapsed="false">
      <c r="A3036" s="148" t="n">
        <v>43713</v>
      </c>
      <c r="B3036" s="37" t="n">
        <v>474.839477539063</v>
      </c>
    </row>
    <row r="3037" customFormat="false" ht="15" hidden="false" customHeight="false" outlineLevel="0" collapsed="false">
      <c r="A3037" s="148" t="n">
        <v>43714</v>
      </c>
      <c r="B3037" s="37" t="n">
        <v>474.839477539063</v>
      </c>
    </row>
    <row r="3038" customFormat="false" ht="15" hidden="false" customHeight="false" outlineLevel="0" collapsed="false">
      <c r="A3038" s="148" t="n">
        <v>43717</v>
      </c>
      <c r="B3038" s="37" t="n">
        <v>468.841522216797</v>
      </c>
    </row>
    <row r="3039" customFormat="false" ht="15" hidden="false" customHeight="false" outlineLevel="0" collapsed="false">
      <c r="A3039" s="148" t="n">
        <v>43718</v>
      </c>
      <c r="B3039" s="37" t="n">
        <v>474.839477539063</v>
      </c>
    </row>
    <row r="3040" customFormat="false" ht="15" hidden="false" customHeight="false" outlineLevel="0" collapsed="false">
      <c r="A3040" s="148" t="n">
        <v>43719</v>
      </c>
      <c r="B3040" s="37" t="n">
        <v>474.839477539063</v>
      </c>
    </row>
    <row r="3041" customFormat="false" ht="15" hidden="false" customHeight="false" outlineLevel="0" collapsed="false">
      <c r="A3041" s="148" t="n">
        <v>43720</v>
      </c>
      <c r="B3041" s="37" t="n">
        <v>474.839477539063</v>
      </c>
    </row>
    <row r="3042" customFormat="false" ht="15" hidden="false" customHeight="false" outlineLevel="0" collapsed="false">
      <c r="A3042" s="148" t="n">
        <v>43721</v>
      </c>
      <c r="B3042" s="37" t="n">
        <v>469.841186523438</v>
      </c>
    </row>
    <row r="3043" customFormat="false" ht="15" hidden="false" customHeight="false" outlineLevel="0" collapsed="false">
      <c r="A3043" s="148" t="n">
        <v>43724</v>
      </c>
      <c r="B3043" s="37" t="n">
        <v>467.841857910156</v>
      </c>
    </row>
    <row r="3044" customFormat="false" ht="15" hidden="false" customHeight="false" outlineLevel="0" collapsed="false">
      <c r="A3044" s="148" t="n">
        <v>43725</v>
      </c>
      <c r="B3044" s="37" t="n">
        <v>474.839477539063</v>
      </c>
    </row>
    <row r="3045" customFormat="false" ht="15" hidden="false" customHeight="false" outlineLevel="0" collapsed="false">
      <c r="A3045" s="148" t="n">
        <v>43726</v>
      </c>
      <c r="B3045" s="37" t="n">
        <v>474.839477539063</v>
      </c>
    </row>
    <row r="3046" customFormat="false" ht="15" hidden="false" customHeight="false" outlineLevel="0" collapsed="false">
      <c r="A3046" s="148" t="n">
        <v>43727</v>
      </c>
      <c r="B3046" s="37" t="n">
        <v>470.840850830078</v>
      </c>
    </row>
    <row r="3047" customFormat="false" ht="15" hidden="false" customHeight="false" outlineLevel="0" collapsed="false">
      <c r="A3047" s="148" t="n">
        <v>43728</v>
      </c>
      <c r="B3047" s="37" t="n">
        <v>470.840850830078</v>
      </c>
    </row>
    <row r="3048" customFormat="false" ht="15" hidden="false" customHeight="false" outlineLevel="0" collapsed="false">
      <c r="A3048" s="148" t="n">
        <v>43731</v>
      </c>
      <c r="B3048" s="37" t="n">
        <v>424.856384277344</v>
      </c>
    </row>
    <row r="3049" customFormat="false" ht="15" hidden="false" customHeight="false" outlineLevel="0" collapsed="false">
      <c r="A3049" s="148" t="n">
        <v>43733</v>
      </c>
      <c r="B3049" s="37" t="n">
        <v>444.849639892578</v>
      </c>
    </row>
    <row r="3050" customFormat="false" ht="15" hidden="false" customHeight="false" outlineLevel="0" collapsed="false">
      <c r="A3050" s="148" t="n">
        <v>43734</v>
      </c>
      <c r="B3050" s="37" t="n">
        <v>444.849639892578</v>
      </c>
    </row>
    <row r="3051" customFormat="false" ht="15" hidden="false" customHeight="false" outlineLevel="0" collapsed="false">
      <c r="A3051" s="148" t="n">
        <v>43735</v>
      </c>
      <c r="B3051" s="37" t="n">
        <v>439.851318359375</v>
      </c>
    </row>
    <row r="3052" customFormat="false" ht="15" hidden="false" customHeight="false" outlineLevel="0" collapsed="false">
      <c r="A3052" s="148" t="n">
        <v>43738</v>
      </c>
      <c r="B3052" s="37" t="n">
        <v>439.851318359375</v>
      </c>
    </row>
    <row r="3053" customFormat="false" ht="15" hidden="false" customHeight="false" outlineLevel="0" collapsed="false">
      <c r="A3053" s="148" t="n">
        <v>43739</v>
      </c>
      <c r="B3053" s="37" t="n">
        <v>439.851318359375</v>
      </c>
    </row>
    <row r="3054" customFormat="false" ht="15" hidden="false" customHeight="false" outlineLevel="0" collapsed="false">
      <c r="A3054" s="148" t="n">
        <v>43740</v>
      </c>
      <c r="B3054" s="37" t="n">
        <v>439.851318359375</v>
      </c>
    </row>
    <row r="3055" customFormat="false" ht="15" hidden="false" customHeight="false" outlineLevel="0" collapsed="false">
      <c r="A3055" s="148" t="n">
        <v>43741</v>
      </c>
      <c r="B3055" s="37" t="n">
        <v>434.852996826172</v>
      </c>
    </row>
    <row r="3056" customFormat="false" ht="15" hidden="false" customHeight="false" outlineLevel="0" collapsed="false">
      <c r="A3056" s="148" t="n">
        <v>43742</v>
      </c>
      <c r="B3056" s="37" t="n">
        <v>439.851318359375</v>
      </c>
    </row>
    <row r="3057" customFormat="false" ht="15" hidden="false" customHeight="false" outlineLevel="0" collapsed="false">
      <c r="A3057" s="148" t="n">
        <v>43745</v>
      </c>
      <c r="B3057" s="37" t="n">
        <v>439.851318359375</v>
      </c>
    </row>
    <row r="3058" customFormat="false" ht="15" hidden="false" customHeight="false" outlineLevel="0" collapsed="false">
      <c r="A3058" s="148" t="n">
        <v>43746</v>
      </c>
      <c r="B3058" s="37" t="n">
        <v>437.851989746094</v>
      </c>
    </row>
    <row r="3059" customFormat="false" ht="15" hidden="false" customHeight="false" outlineLevel="0" collapsed="false">
      <c r="A3059" s="148" t="n">
        <v>43747</v>
      </c>
      <c r="B3059" s="37" t="n">
        <v>434.852996826172</v>
      </c>
    </row>
    <row r="3060" customFormat="false" ht="15" hidden="false" customHeight="false" outlineLevel="0" collapsed="false">
      <c r="A3060" s="148" t="n">
        <v>43748</v>
      </c>
      <c r="B3060" s="37" t="n">
        <v>425.856048583984</v>
      </c>
    </row>
    <row r="3061" customFormat="false" ht="15" hidden="false" customHeight="false" outlineLevel="0" collapsed="false">
      <c r="A3061" s="148" t="n">
        <v>43749</v>
      </c>
      <c r="B3061" s="37" t="n">
        <v>434.852996826172</v>
      </c>
    </row>
    <row r="3062" customFormat="false" ht="15" hidden="false" customHeight="false" outlineLevel="0" collapsed="false">
      <c r="A3062" s="148" t="n">
        <v>43752</v>
      </c>
      <c r="B3062" s="37" t="n">
        <v>434.852996826172</v>
      </c>
    </row>
    <row r="3063" customFormat="false" ht="15" hidden="false" customHeight="false" outlineLevel="0" collapsed="false">
      <c r="A3063" s="148" t="n">
        <v>43753</v>
      </c>
      <c r="B3063" s="37" t="n">
        <v>427.855377197266</v>
      </c>
    </row>
    <row r="3064" customFormat="false" ht="15" hidden="false" customHeight="false" outlineLevel="0" collapsed="false">
      <c r="A3064" s="148" t="n">
        <v>43754</v>
      </c>
      <c r="B3064" s="37" t="n">
        <v>427.855377197266</v>
      </c>
    </row>
    <row r="3065" customFormat="false" ht="15" hidden="false" customHeight="false" outlineLevel="0" collapsed="false">
      <c r="A3065" s="148" t="n">
        <v>43755</v>
      </c>
      <c r="B3065" s="37" t="n">
        <v>427.855377197266</v>
      </c>
    </row>
    <row r="3066" customFormat="false" ht="15" hidden="false" customHeight="false" outlineLevel="0" collapsed="false">
      <c r="A3066" s="148" t="n">
        <v>43756</v>
      </c>
      <c r="B3066" s="37" t="n">
        <v>395.866180419922</v>
      </c>
    </row>
    <row r="3067" customFormat="false" ht="15" hidden="false" customHeight="false" outlineLevel="0" collapsed="false">
      <c r="A3067" s="148" t="n">
        <v>43759</v>
      </c>
      <c r="B3067" s="37" t="n">
        <v>384.869903564453</v>
      </c>
    </row>
    <row r="3068" customFormat="false" ht="15" hidden="false" customHeight="false" outlineLevel="0" collapsed="false">
      <c r="A3068" s="148" t="n">
        <v>43760</v>
      </c>
      <c r="B3068" s="37" t="n">
        <v>344.883422851563</v>
      </c>
    </row>
    <row r="3069" customFormat="false" ht="15" hidden="false" customHeight="false" outlineLevel="0" collapsed="false">
      <c r="A3069" s="148" t="n">
        <v>43761</v>
      </c>
      <c r="B3069" s="37" t="n">
        <v>339.885101318359</v>
      </c>
    </row>
    <row r="3070" customFormat="false" ht="15" hidden="false" customHeight="false" outlineLevel="0" collapsed="false">
      <c r="A3070" s="148" t="n">
        <v>43762</v>
      </c>
      <c r="B3070" s="37" t="n">
        <v>319.891845703125</v>
      </c>
    </row>
    <row r="3071" customFormat="false" ht="15" hidden="false" customHeight="false" outlineLevel="0" collapsed="false">
      <c r="A3071" s="148" t="n">
        <v>43763</v>
      </c>
      <c r="B3071" s="37" t="n">
        <v>324.890197753906</v>
      </c>
    </row>
    <row r="3072" customFormat="false" ht="15" hidden="false" customHeight="false" outlineLevel="0" collapsed="false">
      <c r="A3072" s="148" t="n">
        <v>43766</v>
      </c>
      <c r="B3072" s="37" t="n">
        <v>318.892211914063</v>
      </c>
    </row>
    <row r="3073" customFormat="false" ht="15" hidden="false" customHeight="false" outlineLevel="0" collapsed="false">
      <c r="A3073" s="148" t="n">
        <v>43767</v>
      </c>
      <c r="B3073" s="37" t="n">
        <v>315.893218994141</v>
      </c>
    </row>
    <row r="3074" customFormat="false" ht="15" hidden="false" customHeight="false" outlineLevel="0" collapsed="false">
      <c r="A3074" s="148" t="n">
        <v>43768</v>
      </c>
      <c r="B3074" s="37" t="n">
        <v>314.8935546875</v>
      </c>
    </row>
    <row r="3075" customFormat="false" ht="15" hidden="false" customHeight="false" outlineLevel="0" collapsed="false">
      <c r="A3075" s="148" t="n">
        <v>43769</v>
      </c>
      <c r="B3075" s="37" t="n">
        <v>343.883758544922</v>
      </c>
    </row>
    <row r="3076" customFormat="false" ht="15" hidden="false" customHeight="false" outlineLevel="0" collapsed="false">
      <c r="A3076" s="148" t="n">
        <v>43770</v>
      </c>
      <c r="B3076" s="37" t="n">
        <v>308.895568847656</v>
      </c>
    </row>
    <row r="3077" customFormat="false" ht="15" hidden="false" customHeight="false" outlineLevel="0" collapsed="false">
      <c r="A3077" s="148" t="n">
        <v>43773</v>
      </c>
      <c r="B3077" s="37" t="n">
        <v>284.903717041016</v>
      </c>
    </row>
    <row r="3078" customFormat="false" ht="15" hidden="false" customHeight="false" outlineLevel="0" collapsed="false">
      <c r="A3078" s="148" t="n">
        <v>43774</v>
      </c>
      <c r="B3078" s="37" t="n">
        <v>299.898620605469</v>
      </c>
    </row>
    <row r="3079" customFormat="false" ht="15" hidden="false" customHeight="false" outlineLevel="0" collapsed="false">
      <c r="A3079" s="148" t="n">
        <v>43775</v>
      </c>
      <c r="B3079" s="37" t="n">
        <v>299.898620605469</v>
      </c>
    </row>
    <row r="3080" customFormat="false" ht="15" hidden="false" customHeight="false" outlineLevel="0" collapsed="false">
      <c r="A3080" s="148" t="n">
        <v>43776</v>
      </c>
      <c r="B3080" s="37" t="n">
        <v>314.8935546875</v>
      </c>
    </row>
    <row r="3081" customFormat="false" ht="15" hidden="false" customHeight="false" outlineLevel="0" collapsed="false">
      <c r="A3081" s="148" t="n">
        <v>43777</v>
      </c>
      <c r="B3081" s="37" t="n">
        <v>319.891845703125</v>
      </c>
    </row>
    <row r="3082" customFormat="false" ht="15" hidden="false" customHeight="false" outlineLevel="0" collapsed="false">
      <c r="A3082" s="148" t="n">
        <v>43780</v>
      </c>
      <c r="B3082" s="37" t="n">
        <v>314.8935546875</v>
      </c>
    </row>
    <row r="3083" customFormat="false" ht="15" hidden="false" customHeight="false" outlineLevel="0" collapsed="false">
      <c r="A3083" s="148" t="n">
        <v>43781</v>
      </c>
      <c r="B3083" s="37" t="n">
        <v>367.875640869141</v>
      </c>
    </row>
    <row r="3084" customFormat="false" ht="15" hidden="false" customHeight="false" outlineLevel="0" collapsed="false">
      <c r="A3084" s="148" t="n">
        <v>43782</v>
      </c>
      <c r="B3084" s="37" t="n">
        <v>379.87158203125</v>
      </c>
    </row>
    <row r="3085" customFormat="false" ht="15" hidden="false" customHeight="false" outlineLevel="0" collapsed="false">
      <c r="A3085" s="148" t="n">
        <v>43783</v>
      </c>
      <c r="B3085" s="37" t="n">
        <v>389.868194580078</v>
      </c>
    </row>
    <row r="3086" customFormat="false" ht="15" hidden="false" customHeight="false" outlineLevel="0" collapsed="false">
      <c r="A3086" s="148" t="n">
        <v>43784</v>
      </c>
      <c r="B3086" s="37" t="n">
        <v>474.839477539063</v>
      </c>
    </row>
    <row r="3087" customFormat="false" ht="15" hidden="false" customHeight="false" outlineLevel="0" collapsed="false">
      <c r="A3087" s="148" t="n">
        <v>43787</v>
      </c>
      <c r="B3087" s="37" t="n">
        <v>479.837799072266</v>
      </c>
    </row>
    <row r="3088" customFormat="false" ht="15" hidden="false" customHeight="false" outlineLevel="0" collapsed="false">
      <c r="A3088" s="148" t="n">
        <v>43788</v>
      </c>
      <c r="B3088" s="37" t="n">
        <v>479.837799072266</v>
      </c>
    </row>
    <row r="3089" customFormat="false" ht="15" hidden="false" customHeight="false" outlineLevel="0" collapsed="false">
      <c r="A3089" s="148" t="n">
        <v>43789</v>
      </c>
      <c r="B3089" s="37" t="n">
        <v>499.8310546875</v>
      </c>
    </row>
    <row r="3090" customFormat="false" ht="15" hidden="false" customHeight="false" outlineLevel="0" collapsed="false">
      <c r="A3090" s="148" t="n">
        <v>43790</v>
      </c>
      <c r="B3090" s="37" t="n">
        <v>499.8310546875</v>
      </c>
    </row>
    <row r="3091" customFormat="false" ht="15" hidden="false" customHeight="false" outlineLevel="0" collapsed="false">
      <c r="A3091" s="148" t="n">
        <v>43791</v>
      </c>
      <c r="B3091" s="37" t="n">
        <v>499.8310546875</v>
      </c>
    </row>
    <row r="3092" customFormat="false" ht="15" hidden="false" customHeight="false" outlineLevel="0" collapsed="false">
      <c r="A3092" s="148" t="n">
        <v>43794</v>
      </c>
      <c r="B3092" s="37" t="n">
        <v>499.8310546875</v>
      </c>
    </row>
    <row r="3093" customFormat="false" ht="15" hidden="false" customHeight="false" outlineLevel="0" collapsed="false">
      <c r="A3093" s="148" t="n">
        <v>43795</v>
      </c>
      <c r="B3093" s="37" t="n">
        <v>489.834411621094</v>
      </c>
    </row>
    <row r="3094" customFormat="false" ht="15" hidden="false" customHeight="false" outlineLevel="0" collapsed="false">
      <c r="A3094" s="148" t="n">
        <v>43796</v>
      </c>
      <c r="B3094" s="37" t="n">
        <v>489.834411621094</v>
      </c>
    </row>
    <row r="3095" customFormat="false" ht="15" hidden="false" customHeight="false" outlineLevel="0" collapsed="false">
      <c r="A3095" s="148" t="n">
        <v>43797</v>
      </c>
      <c r="B3095" s="37" t="n">
        <v>489.834411621094</v>
      </c>
    </row>
    <row r="3096" customFormat="false" ht="15" hidden="false" customHeight="false" outlineLevel="0" collapsed="false">
      <c r="A3096" s="148" t="n">
        <v>43798</v>
      </c>
      <c r="B3096" s="37" t="n">
        <v>449.847930908203</v>
      </c>
    </row>
    <row r="3097" customFormat="false" ht="15" hidden="false" customHeight="false" outlineLevel="0" collapsed="false">
      <c r="A3097" s="148" t="n">
        <v>43801</v>
      </c>
      <c r="B3097" s="37" t="n">
        <v>469.841186523438</v>
      </c>
    </row>
    <row r="3098" customFormat="false" ht="15" hidden="false" customHeight="false" outlineLevel="0" collapsed="false">
      <c r="A3098" s="148" t="n">
        <v>43802</v>
      </c>
      <c r="B3098" s="37" t="n">
        <v>447.848602294922</v>
      </c>
    </row>
    <row r="3099" customFormat="false" ht="15" hidden="false" customHeight="false" outlineLevel="0" collapsed="false">
      <c r="A3099" s="148" t="n">
        <v>43803</v>
      </c>
      <c r="B3099" s="37" t="n">
        <v>447.848602294922</v>
      </c>
    </row>
    <row r="3100" customFormat="false" ht="15" hidden="false" customHeight="false" outlineLevel="0" collapsed="false">
      <c r="A3100" s="148" t="n">
        <v>43804</v>
      </c>
      <c r="B3100" s="37" t="n">
        <v>429.854675292969</v>
      </c>
    </row>
    <row r="3101" customFormat="false" ht="15" hidden="false" customHeight="false" outlineLevel="0" collapsed="false">
      <c r="A3101" s="148" t="n">
        <v>43805</v>
      </c>
      <c r="B3101" s="37" t="n">
        <v>429.854675292969</v>
      </c>
    </row>
    <row r="3102" customFormat="false" ht="15" hidden="false" customHeight="false" outlineLevel="0" collapsed="false">
      <c r="A3102" s="148" t="n">
        <v>43808</v>
      </c>
      <c r="B3102" s="37" t="n">
        <v>429.854675292969</v>
      </c>
    </row>
    <row r="3103" customFormat="false" ht="15" hidden="false" customHeight="false" outlineLevel="0" collapsed="false">
      <c r="A3103" s="148" t="n">
        <v>43809</v>
      </c>
      <c r="B3103" s="37" t="n">
        <v>439.851318359375</v>
      </c>
    </row>
    <row r="3104" customFormat="false" ht="15" hidden="false" customHeight="false" outlineLevel="0" collapsed="false">
      <c r="A3104" s="148" t="n">
        <v>43810</v>
      </c>
      <c r="B3104" s="37" t="n">
        <v>439.851318359375</v>
      </c>
    </row>
    <row r="3105" customFormat="false" ht="15" hidden="false" customHeight="false" outlineLevel="0" collapsed="false">
      <c r="A3105" s="148" t="n">
        <v>43811</v>
      </c>
      <c r="B3105" s="37" t="n">
        <v>439.851318359375</v>
      </c>
    </row>
    <row r="3106" customFormat="false" ht="15" hidden="false" customHeight="false" outlineLevel="0" collapsed="false">
      <c r="A3106" s="148" t="n">
        <v>43812</v>
      </c>
      <c r="B3106" s="37" t="n">
        <v>434.852996826172</v>
      </c>
    </row>
    <row r="3107" customFormat="false" ht="15" hidden="false" customHeight="false" outlineLevel="0" collapsed="false">
      <c r="A3107" s="148" t="n">
        <v>43816</v>
      </c>
      <c r="B3107" s="37" t="n">
        <v>429.854675292969</v>
      </c>
    </row>
    <row r="3108" customFormat="false" ht="15" hidden="false" customHeight="false" outlineLevel="0" collapsed="false">
      <c r="A3108" s="148" t="n">
        <v>43817</v>
      </c>
      <c r="B3108" s="37" t="n">
        <v>429.854675292969</v>
      </c>
    </row>
    <row r="3109" customFormat="false" ht="15" hidden="false" customHeight="false" outlineLevel="0" collapsed="false">
      <c r="A3109" s="148" t="n">
        <v>43818</v>
      </c>
      <c r="B3109" s="37" t="n">
        <v>399.864807128906</v>
      </c>
    </row>
    <row r="3110" customFormat="false" ht="15" hidden="false" customHeight="false" outlineLevel="0" collapsed="false">
      <c r="A3110" s="148" t="n">
        <v>43819</v>
      </c>
      <c r="B3110" s="37" t="n">
        <v>399.864807128906</v>
      </c>
    </row>
    <row r="3111" customFormat="false" ht="15" hidden="false" customHeight="false" outlineLevel="0" collapsed="false">
      <c r="A3111" s="148" t="n">
        <v>43822</v>
      </c>
      <c r="B3111" s="37" t="n">
        <v>419.858062744141</v>
      </c>
    </row>
    <row r="3112" customFormat="false" ht="15" hidden="false" customHeight="false" outlineLevel="0" collapsed="false">
      <c r="A3112" s="148" t="n">
        <v>43823</v>
      </c>
      <c r="B3112" s="37" t="n">
        <v>414.859741210938</v>
      </c>
    </row>
    <row r="3113" customFormat="false" ht="15" hidden="false" customHeight="false" outlineLevel="0" collapsed="false">
      <c r="A3113" s="148" t="n">
        <v>43826</v>
      </c>
      <c r="B3113" s="37" t="n">
        <v>427.855377197266</v>
      </c>
    </row>
    <row r="3114" customFormat="false" ht="15" hidden="false" customHeight="false" outlineLevel="0" collapsed="false">
      <c r="A3114" s="148" t="n">
        <v>43829</v>
      </c>
      <c r="B3114" s="37" t="n">
        <v>429.854675292969</v>
      </c>
    </row>
    <row r="3115" customFormat="false" ht="15" hidden="false" customHeight="false" outlineLevel="0" collapsed="false">
      <c r="A3115" s="148" t="n">
        <v>43830</v>
      </c>
      <c r="B3115" s="37" t="n">
        <v>439.851318359375</v>
      </c>
    </row>
    <row r="3116" customFormat="false" ht="15" hidden="false" customHeight="false" outlineLevel="0" collapsed="false">
      <c r="A3116" s="148" t="n">
        <v>43832</v>
      </c>
      <c r="B3116" s="37" t="n">
        <v>439.851318359375</v>
      </c>
    </row>
    <row r="3117" customFormat="false" ht="15" hidden="false" customHeight="false" outlineLevel="0" collapsed="false">
      <c r="A3117" s="148" t="n">
        <v>43833</v>
      </c>
      <c r="B3117" s="37" t="n">
        <v>439.851318359375</v>
      </c>
    </row>
    <row r="3118" customFormat="false" ht="15" hidden="false" customHeight="false" outlineLevel="0" collapsed="false">
      <c r="A3118" s="148" t="n">
        <v>43836</v>
      </c>
      <c r="B3118" s="37" t="n">
        <v>439.851318359375</v>
      </c>
    </row>
    <row r="3119" customFormat="false" ht="15" hidden="false" customHeight="false" outlineLevel="0" collapsed="false">
      <c r="A3119" s="148" t="n">
        <v>43837</v>
      </c>
      <c r="B3119" s="37" t="n">
        <v>315.893218994141</v>
      </c>
    </row>
    <row r="3120" customFormat="false" ht="15" hidden="false" customHeight="false" outlineLevel="0" collapsed="false">
      <c r="A3120" s="148" t="n">
        <v>43838</v>
      </c>
      <c r="B3120" s="37" t="n">
        <v>349.881713867188</v>
      </c>
    </row>
    <row r="3121" customFormat="false" ht="15" hidden="false" customHeight="false" outlineLevel="0" collapsed="false">
      <c r="A3121" s="148" t="n">
        <v>43839</v>
      </c>
      <c r="B3121" s="37" t="n">
        <v>349.881713867188</v>
      </c>
    </row>
    <row r="3122" customFormat="false" ht="15" hidden="false" customHeight="false" outlineLevel="0" collapsed="false">
      <c r="A3122" s="148" t="n">
        <v>43840</v>
      </c>
      <c r="B3122" s="37" t="n">
        <v>341.884429931641</v>
      </c>
    </row>
    <row r="3123" customFormat="false" ht="15" hidden="false" customHeight="false" outlineLevel="0" collapsed="false">
      <c r="A3123" s="148" t="n">
        <v>43843</v>
      </c>
      <c r="B3123" s="37" t="n">
        <v>309.895233154297</v>
      </c>
    </row>
    <row r="3124" customFormat="false" ht="15" hidden="false" customHeight="false" outlineLevel="0" collapsed="false">
      <c r="A3124" s="148" t="n">
        <v>43844</v>
      </c>
      <c r="B3124" s="37" t="n">
        <v>299.898620605469</v>
      </c>
    </row>
    <row r="3125" customFormat="false" ht="15" hidden="false" customHeight="false" outlineLevel="0" collapsed="false">
      <c r="A3125" s="148" t="n">
        <v>43845</v>
      </c>
      <c r="B3125" s="37" t="n">
        <v>299.898620605469</v>
      </c>
    </row>
    <row r="3126" customFormat="false" ht="15" hidden="false" customHeight="false" outlineLevel="0" collapsed="false">
      <c r="A3126" s="148" t="n">
        <v>43846</v>
      </c>
      <c r="B3126" s="37" t="n">
        <v>299.898620605469</v>
      </c>
    </row>
    <row r="3127" customFormat="false" ht="15" hidden="false" customHeight="false" outlineLevel="0" collapsed="false">
      <c r="A3127" s="148" t="n">
        <v>43847</v>
      </c>
      <c r="B3127" s="37" t="n">
        <v>299.898620605469</v>
      </c>
    </row>
    <row r="3128" customFormat="false" ht="15" hidden="false" customHeight="false" outlineLevel="0" collapsed="false">
      <c r="A3128" s="148" t="n">
        <v>43850</v>
      </c>
      <c r="B3128" s="37" t="n">
        <v>299.898620605469</v>
      </c>
    </row>
    <row r="3129" customFormat="false" ht="15" hidden="false" customHeight="false" outlineLevel="0" collapsed="false">
      <c r="A3129" s="148" t="n">
        <v>43851</v>
      </c>
      <c r="B3129" s="37" t="n">
        <v>289.902008056641</v>
      </c>
    </row>
    <row r="3130" customFormat="false" ht="15" hidden="false" customHeight="false" outlineLevel="0" collapsed="false">
      <c r="A3130" s="148" t="n">
        <v>43852</v>
      </c>
      <c r="B3130" s="37" t="n">
        <v>289.902008056641</v>
      </c>
    </row>
    <row r="3131" customFormat="false" ht="15" hidden="false" customHeight="false" outlineLevel="0" collapsed="false">
      <c r="A3131" s="148" t="n">
        <v>43853</v>
      </c>
      <c r="B3131" s="37" t="n">
        <v>289.902008056641</v>
      </c>
    </row>
    <row r="3132" customFormat="false" ht="15" hidden="false" customHeight="false" outlineLevel="0" collapsed="false">
      <c r="A3132" s="148" t="n">
        <v>43854</v>
      </c>
      <c r="B3132" s="37" t="n">
        <v>299.898620605469</v>
      </c>
    </row>
    <row r="3133" customFormat="false" ht="15" hidden="false" customHeight="false" outlineLevel="0" collapsed="false">
      <c r="A3133" s="148" t="n">
        <v>43857</v>
      </c>
      <c r="B3133" s="37" t="n">
        <v>289.902008056641</v>
      </c>
    </row>
    <row r="3134" customFormat="false" ht="15" hidden="false" customHeight="false" outlineLevel="0" collapsed="false">
      <c r="A3134" s="148" t="n">
        <v>43858</v>
      </c>
      <c r="B3134" s="37" t="n">
        <v>279.905364990234</v>
      </c>
    </row>
    <row r="3135" customFormat="false" ht="15" hidden="false" customHeight="false" outlineLevel="0" collapsed="false">
      <c r="A3135" s="148" t="n">
        <v>43859</v>
      </c>
      <c r="B3135" s="37" t="n">
        <v>279.905364990234</v>
      </c>
    </row>
    <row r="3136" customFormat="false" ht="15" hidden="false" customHeight="false" outlineLevel="0" collapsed="false">
      <c r="A3136" s="148" t="n">
        <v>43860</v>
      </c>
      <c r="B3136" s="37" t="n">
        <v>274.907073974609</v>
      </c>
    </row>
    <row r="3137" customFormat="false" ht="15" hidden="false" customHeight="false" outlineLevel="0" collapsed="false">
      <c r="A3137" s="148" t="n">
        <v>43861</v>
      </c>
      <c r="B3137" s="37" t="n">
        <v>248.915863037109</v>
      </c>
    </row>
    <row r="3138" customFormat="false" ht="15" hidden="false" customHeight="false" outlineLevel="0" collapsed="false">
      <c r="A3138" s="148" t="n">
        <v>43864</v>
      </c>
      <c r="B3138" s="37" t="n">
        <v>233.920928955078</v>
      </c>
    </row>
    <row r="3139" customFormat="false" ht="15" hidden="false" customHeight="false" outlineLevel="0" collapsed="false">
      <c r="A3139" s="148" t="n">
        <v>43865</v>
      </c>
      <c r="B3139" s="37" t="n">
        <v>229.922286987305</v>
      </c>
    </row>
    <row r="3140" customFormat="false" ht="15" hidden="false" customHeight="false" outlineLevel="0" collapsed="false">
      <c r="A3140" s="148" t="n">
        <v>43866</v>
      </c>
      <c r="B3140" s="37" t="n">
        <v>247.916198730469</v>
      </c>
    </row>
    <row r="3141" customFormat="false" ht="15" hidden="false" customHeight="false" outlineLevel="0" collapsed="false">
      <c r="A3141" s="148" t="n">
        <v>43867</v>
      </c>
      <c r="B3141" s="37" t="n">
        <v>247.916198730469</v>
      </c>
    </row>
    <row r="3142" customFormat="false" ht="15" hidden="false" customHeight="false" outlineLevel="0" collapsed="false">
      <c r="A3142" s="148" t="n">
        <v>43868</v>
      </c>
      <c r="B3142" s="37" t="n">
        <v>247.916198730469</v>
      </c>
    </row>
    <row r="3143" customFormat="false" ht="15" hidden="false" customHeight="false" outlineLevel="0" collapsed="false">
      <c r="A3143" s="148" t="n">
        <v>43871</v>
      </c>
      <c r="B3143" s="37" t="n">
        <v>229.922286987305</v>
      </c>
    </row>
    <row r="3144" customFormat="false" ht="15" hidden="false" customHeight="false" outlineLevel="0" collapsed="false">
      <c r="A3144" s="148" t="n">
        <v>43872</v>
      </c>
      <c r="B3144" s="37" t="n">
        <v>263.910797119141</v>
      </c>
    </row>
    <row r="3145" customFormat="false" ht="15" hidden="false" customHeight="false" outlineLevel="0" collapsed="false">
      <c r="A3145" s="148" t="n">
        <v>43873</v>
      </c>
      <c r="B3145" s="37" t="n">
        <v>263.910797119141</v>
      </c>
    </row>
    <row r="3146" customFormat="false" ht="15" hidden="false" customHeight="false" outlineLevel="0" collapsed="false">
      <c r="A3146" s="148" t="n">
        <v>43874</v>
      </c>
      <c r="B3146" s="37" t="n">
        <v>263.910797119141</v>
      </c>
    </row>
    <row r="3147" customFormat="false" ht="15" hidden="false" customHeight="false" outlineLevel="0" collapsed="false">
      <c r="A3147" s="148" t="n">
        <v>43875</v>
      </c>
      <c r="B3147" s="37" t="n">
        <v>263.910797119141</v>
      </c>
    </row>
    <row r="3148" customFormat="false" ht="15" hidden="false" customHeight="false" outlineLevel="0" collapsed="false">
      <c r="A3148" s="148" t="n">
        <v>43878</v>
      </c>
      <c r="B3148" s="37" t="n">
        <v>229.922286987305</v>
      </c>
    </row>
    <row r="3149" customFormat="false" ht="15" hidden="false" customHeight="false" outlineLevel="0" collapsed="false">
      <c r="A3149" s="148" t="n">
        <v>43879</v>
      </c>
      <c r="B3149" s="37" t="n">
        <v>229.922286987305</v>
      </c>
    </row>
    <row r="3150" customFormat="false" ht="15" hidden="false" customHeight="false" outlineLevel="0" collapsed="false">
      <c r="A3150" s="148" t="n">
        <v>43880</v>
      </c>
      <c r="B3150" s="37" t="n">
        <v>229.922286987305</v>
      </c>
    </row>
    <row r="3151" customFormat="false" ht="15" hidden="false" customHeight="false" outlineLevel="0" collapsed="false">
      <c r="A3151" s="148" t="n">
        <v>43881</v>
      </c>
      <c r="B3151" s="37" t="n">
        <v>229.922286987305</v>
      </c>
    </row>
    <row r="3152" customFormat="false" ht="15" hidden="false" customHeight="false" outlineLevel="0" collapsed="false">
      <c r="A3152" s="148" t="n">
        <v>43882</v>
      </c>
      <c r="B3152" s="37" t="n">
        <v>226.923294067383</v>
      </c>
    </row>
    <row r="3153" customFormat="false" ht="15" hidden="false" customHeight="false" outlineLevel="0" collapsed="false">
      <c r="A3153" s="148" t="n">
        <v>43885</v>
      </c>
      <c r="B3153" s="37" t="n">
        <v>215.927001953125</v>
      </c>
    </row>
    <row r="3154" customFormat="false" ht="15" hidden="false" customHeight="false" outlineLevel="0" collapsed="false">
      <c r="A3154" s="148" t="n">
        <v>43886</v>
      </c>
      <c r="B3154" s="37" t="n">
        <v>258.912475585938</v>
      </c>
    </row>
    <row r="3155" customFormat="false" ht="15" hidden="false" customHeight="false" outlineLevel="0" collapsed="false">
      <c r="A3155" s="148" t="n">
        <v>43887</v>
      </c>
      <c r="B3155" s="37" t="n">
        <v>219.925659179688</v>
      </c>
    </row>
    <row r="3156" customFormat="false" ht="15" hidden="false" customHeight="false" outlineLevel="0" collapsed="false">
      <c r="A3156" s="148" t="n">
        <v>43888</v>
      </c>
      <c r="B3156" s="37" t="n">
        <v>249.91552734375</v>
      </c>
    </row>
    <row r="3157" customFormat="false" ht="15" hidden="false" customHeight="false" outlineLevel="0" collapsed="false">
      <c r="A3157" s="148" t="n">
        <v>43889</v>
      </c>
      <c r="B3157" s="37" t="n">
        <v>279.905364990234</v>
      </c>
    </row>
    <row r="3158" customFormat="false" ht="15" hidden="false" customHeight="false" outlineLevel="0" collapsed="false">
      <c r="A3158" s="148" t="n">
        <v>43892</v>
      </c>
      <c r="B3158" s="37" t="n">
        <v>249.91552734375</v>
      </c>
    </row>
    <row r="3159" customFormat="false" ht="15" hidden="false" customHeight="false" outlineLevel="0" collapsed="false">
      <c r="A3159" s="148" t="n">
        <v>43893</v>
      </c>
      <c r="B3159" s="37" t="n">
        <v>249.91552734375</v>
      </c>
    </row>
    <row r="3160" customFormat="false" ht="15" hidden="false" customHeight="false" outlineLevel="0" collapsed="false">
      <c r="A3160" s="148" t="n">
        <v>43894</v>
      </c>
      <c r="B3160" s="37" t="n">
        <v>249.91552734375</v>
      </c>
    </row>
    <row r="3161" customFormat="false" ht="15" hidden="false" customHeight="false" outlineLevel="0" collapsed="false">
      <c r="A3161" s="148" t="n">
        <v>43895</v>
      </c>
      <c r="B3161" s="37" t="n">
        <v>249.91552734375</v>
      </c>
    </row>
    <row r="3162" customFormat="false" ht="15" hidden="false" customHeight="false" outlineLevel="0" collapsed="false">
      <c r="A3162" s="148" t="n">
        <v>43896</v>
      </c>
      <c r="B3162" s="37" t="n">
        <v>249.91552734375</v>
      </c>
    </row>
    <row r="3163" customFormat="false" ht="15" hidden="false" customHeight="false" outlineLevel="0" collapsed="false">
      <c r="A3163" s="148" t="n">
        <v>43899</v>
      </c>
      <c r="B3163" s="37" t="n">
        <v>199.932403564453</v>
      </c>
    </row>
    <row r="3164" customFormat="false" ht="15" hidden="false" customHeight="false" outlineLevel="0" collapsed="false">
      <c r="A3164" s="148" t="n">
        <v>43900</v>
      </c>
      <c r="B3164" s="37" t="n">
        <v>247.916198730469</v>
      </c>
    </row>
    <row r="3165" customFormat="false" ht="15" hidden="false" customHeight="false" outlineLevel="0" collapsed="false">
      <c r="A3165" s="148" t="n">
        <v>43901</v>
      </c>
      <c r="B3165" s="37" t="n">
        <v>247.916198730469</v>
      </c>
    </row>
    <row r="3166" customFormat="false" ht="15" hidden="false" customHeight="false" outlineLevel="0" collapsed="false">
      <c r="A3166" s="148" t="n">
        <v>43902</v>
      </c>
      <c r="B3166" s="37" t="n">
        <v>323.890502929688</v>
      </c>
    </row>
    <row r="3167" customFormat="false" ht="15" hidden="false" customHeight="false" outlineLevel="0" collapsed="false">
      <c r="A3167" s="148" t="n">
        <v>43903</v>
      </c>
      <c r="B3167" s="37" t="n">
        <v>369.874969482422</v>
      </c>
    </row>
    <row r="3168" customFormat="false" ht="15" hidden="false" customHeight="false" outlineLevel="0" collapsed="false">
      <c r="A3168" s="148" t="n">
        <v>43906</v>
      </c>
      <c r="B3168" s="37" t="n">
        <v>417.858764648438</v>
      </c>
    </row>
    <row r="3169" customFormat="false" ht="15" hidden="false" customHeight="false" outlineLevel="0" collapsed="false">
      <c r="A3169" s="148" t="n">
        <v>43907</v>
      </c>
      <c r="B3169" s="37" t="n">
        <v>383.870239257813</v>
      </c>
    </row>
    <row r="3170" customFormat="false" ht="15" hidden="false" customHeight="false" outlineLevel="0" collapsed="false">
      <c r="A3170" s="148" t="n">
        <v>43908</v>
      </c>
      <c r="B3170" s="37" t="n">
        <v>379.87158203125</v>
      </c>
    </row>
    <row r="3171" customFormat="false" ht="15" hidden="false" customHeight="false" outlineLevel="0" collapsed="false">
      <c r="A3171" s="148" t="n">
        <v>43909</v>
      </c>
      <c r="B3171" s="37" t="n">
        <v>374.873260498047</v>
      </c>
    </row>
    <row r="3172" customFormat="false" ht="15" hidden="false" customHeight="false" outlineLevel="0" collapsed="false">
      <c r="A3172" s="148" t="n">
        <v>43910</v>
      </c>
      <c r="B3172" s="37" t="n">
        <v>299.898620605469</v>
      </c>
    </row>
    <row r="3173" customFormat="false" ht="15" hidden="false" customHeight="false" outlineLevel="0" collapsed="false">
      <c r="A3173" s="148" t="n">
        <v>43913</v>
      </c>
      <c r="B3173" s="37" t="n">
        <v>356.879364013672</v>
      </c>
    </row>
    <row r="3174" customFormat="false" ht="15" hidden="false" customHeight="false" outlineLevel="0" collapsed="false">
      <c r="A3174" s="148" t="n">
        <v>43914</v>
      </c>
      <c r="B3174" s="37" t="n">
        <v>356.879364013672</v>
      </c>
    </row>
    <row r="3175" customFormat="false" ht="15" hidden="false" customHeight="false" outlineLevel="0" collapsed="false">
      <c r="A3175" s="148" t="n">
        <v>43915</v>
      </c>
      <c r="B3175" s="37" t="n">
        <v>356.879364013672</v>
      </c>
    </row>
    <row r="3176" customFormat="false" ht="15" hidden="false" customHeight="false" outlineLevel="0" collapsed="false">
      <c r="A3176" s="148" t="n">
        <v>43916</v>
      </c>
      <c r="B3176" s="37" t="n">
        <v>310.894897460938</v>
      </c>
    </row>
    <row r="3177" customFormat="false" ht="15" hidden="false" customHeight="false" outlineLevel="0" collapsed="false">
      <c r="A3177" s="148" t="n">
        <v>43917</v>
      </c>
      <c r="B3177" s="37" t="n">
        <v>309.895233154297</v>
      </c>
    </row>
    <row r="3178" customFormat="false" ht="15" hidden="false" customHeight="false" outlineLevel="0" collapsed="false">
      <c r="A3178" s="148" t="n">
        <v>43920</v>
      </c>
      <c r="B3178" s="37" t="n">
        <v>299.898620605469</v>
      </c>
    </row>
    <row r="3179" customFormat="false" ht="15" hidden="false" customHeight="false" outlineLevel="0" collapsed="false">
      <c r="A3179" s="148" t="n">
        <v>43921</v>
      </c>
      <c r="B3179" s="37" t="n">
        <v>299.898620605469</v>
      </c>
    </row>
    <row r="3180" customFormat="false" ht="15" hidden="false" customHeight="false" outlineLevel="0" collapsed="false">
      <c r="A3180" s="148" t="n">
        <v>43922</v>
      </c>
      <c r="B3180" s="37" t="n">
        <v>299.898620605469</v>
      </c>
    </row>
    <row r="3181" customFormat="false" ht="15" hidden="false" customHeight="false" outlineLevel="0" collapsed="false">
      <c r="A3181" s="148" t="n">
        <v>43923</v>
      </c>
      <c r="B3181" s="37" t="n">
        <v>299.898620605469</v>
      </c>
    </row>
    <row r="3182" customFormat="false" ht="15" hidden="false" customHeight="false" outlineLevel="0" collapsed="false">
      <c r="A3182" s="148" t="n">
        <v>43924</v>
      </c>
      <c r="B3182" s="37" t="n">
        <v>299.898620605469</v>
      </c>
    </row>
    <row r="3183" customFormat="false" ht="15" hidden="false" customHeight="false" outlineLevel="0" collapsed="false">
      <c r="A3183" s="148" t="n">
        <v>43927</v>
      </c>
      <c r="B3183" s="37" t="n">
        <v>299.898620605469</v>
      </c>
    </row>
    <row r="3184" customFormat="false" ht="15" hidden="false" customHeight="false" outlineLevel="0" collapsed="false">
      <c r="A3184" s="148" t="n">
        <v>43928</v>
      </c>
      <c r="B3184" s="37" t="n">
        <v>294.900299072266</v>
      </c>
    </row>
    <row r="3185" customFormat="false" ht="15" hidden="false" customHeight="false" outlineLevel="0" collapsed="false">
      <c r="A3185" s="148" t="n">
        <v>43929</v>
      </c>
      <c r="B3185" s="37" t="n">
        <v>296.899627685547</v>
      </c>
    </row>
    <row r="3186" customFormat="false" ht="15" hidden="false" customHeight="false" outlineLevel="0" collapsed="false">
      <c r="A3186" s="148" t="n">
        <v>43930</v>
      </c>
      <c r="B3186" s="37" t="n">
        <v>295.899993896484</v>
      </c>
    </row>
    <row r="3187" customFormat="false" ht="15" hidden="false" customHeight="false" outlineLevel="0" collapsed="false">
      <c r="A3187" s="148" t="n">
        <v>43935</v>
      </c>
      <c r="B3187" s="37" t="n">
        <v>249.91552734375</v>
      </c>
    </row>
    <row r="3188" customFormat="false" ht="15" hidden="false" customHeight="false" outlineLevel="0" collapsed="false">
      <c r="A3188" s="148" t="n">
        <v>43936</v>
      </c>
      <c r="B3188" s="37" t="n">
        <v>289.902008056641</v>
      </c>
    </row>
    <row r="3189" customFormat="false" ht="15" hidden="false" customHeight="false" outlineLevel="0" collapsed="false">
      <c r="A3189" s="148" t="n">
        <v>43937</v>
      </c>
      <c r="B3189" s="37" t="n">
        <v>274.907073974609</v>
      </c>
    </row>
    <row r="3190" customFormat="false" ht="15" hidden="false" customHeight="false" outlineLevel="0" collapsed="false">
      <c r="A3190" s="148" t="n">
        <v>43938</v>
      </c>
      <c r="B3190" s="37" t="n">
        <v>274.907073974609</v>
      </c>
    </row>
    <row r="3191" customFormat="false" ht="15" hidden="false" customHeight="false" outlineLevel="0" collapsed="false">
      <c r="A3191" s="148" t="n">
        <v>43941</v>
      </c>
      <c r="B3191" s="37" t="n">
        <v>274.907073974609</v>
      </c>
    </row>
    <row r="3192" customFormat="false" ht="15" hidden="false" customHeight="false" outlineLevel="0" collapsed="false">
      <c r="A3192" s="148" t="n">
        <v>43942</v>
      </c>
      <c r="B3192" s="37" t="n">
        <v>249.91552734375</v>
      </c>
    </row>
    <row r="3193" customFormat="false" ht="15" hidden="false" customHeight="false" outlineLevel="0" collapsed="false">
      <c r="A3193" s="148" t="n">
        <v>43943</v>
      </c>
      <c r="B3193" s="37" t="n">
        <v>249.91552734375</v>
      </c>
    </row>
    <row r="3194" customFormat="false" ht="15" hidden="false" customHeight="false" outlineLevel="0" collapsed="false">
      <c r="A3194" s="148" t="n">
        <v>43944</v>
      </c>
      <c r="B3194" s="37" t="n">
        <v>273.907409667969</v>
      </c>
    </row>
    <row r="3195" customFormat="false" ht="15" hidden="false" customHeight="false" outlineLevel="0" collapsed="false">
      <c r="A3195" s="148" t="n">
        <v>43945</v>
      </c>
      <c r="B3195" s="37" t="n">
        <v>273.907409667969</v>
      </c>
    </row>
    <row r="3196" customFormat="false" ht="15" hidden="false" customHeight="false" outlineLevel="0" collapsed="false">
      <c r="A3196" s="148" t="n">
        <v>43949</v>
      </c>
      <c r="B3196" s="37" t="n">
        <v>273.907409667969</v>
      </c>
    </row>
    <row r="3197" customFormat="false" ht="15" hidden="false" customHeight="false" outlineLevel="0" collapsed="false">
      <c r="A3197" s="148" t="n">
        <v>43950</v>
      </c>
      <c r="B3197" s="37" t="n">
        <v>273.907409667969</v>
      </c>
    </row>
    <row r="3198" customFormat="false" ht="15" hidden="false" customHeight="false" outlineLevel="0" collapsed="false">
      <c r="A3198" s="148" t="n">
        <v>43951</v>
      </c>
      <c r="B3198" s="37" t="n">
        <v>239.918899536133</v>
      </c>
    </row>
    <row r="3199" customFormat="false" ht="15" hidden="false" customHeight="false" outlineLevel="0" collapsed="false">
      <c r="A3199" s="148" t="n">
        <v>43955</v>
      </c>
      <c r="B3199" s="37" t="n">
        <v>249.91552734375</v>
      </c>
    </row>
    <row r="3200" customFormat="false" ht="15" hidden="false" customHeight="false" outlineLevel="0" collapsed="false">
      <c r="A3200" s="148" t="n">
        <v>43956</v>
      </c>
      <c r="B3200" s="37" t="n">
        <v>258.912475585938</v>
      </c>
    </row>
    <row r="3201" customFormat="false" ht="15" hidden="false" customHeight="false" outlineLevel="0" collapsed="false">
      <c r="A3201" s="148" t="n">
        <v>43957</v>
      </c>
      <c r="B3201" s="37" t="n">
        <v>258.912475585938</v>
      </c>
    </row>
    <row r="3202" customFormat="false" ht="15" hidden="false" customHeight="false" outlineLevel="0" collapsed="false">
      <c r="A3202" s="148" t="n">
        <v>43958</v>
      </c>
      <c r="B3202" s="37" t="n">
        <v>271.908081054688</v>
      </c>
    </row>
    <row r="3203" customFormat="false" ht="15" hidden="false" customHeight="false" outlineLevel="0" collapsed="false">
      <c r="A3203" s="148" t="n">
        <v>43959</v>
      </c>
      <c r="B3203" s="37" t="n">
        <v>271.908081054688</v>
      </c>
    </row>
    <row r="3204" customFormat="false" ht="15" hidden="false" customHeight="false" outlineLevel="0" collapsed="false">
      <c r="A3204" s="148" t="n">
        <v>43962</v>
      </c>
      <c r="B3204" s="37" t="n">
        <v>271.908081054688</v>
      </c>
    </row>
    <row r="3205" customFormat="false" ht="15" hidden="false" customHeight="false" outlineLevel="0" collapsed="false">
      <c r="A3205" s="148" t="n">
        <v>43963</v>
      </c>
      <c r="B3205" s="37" t="n">
        <v>272.907745361328</v>
      </c>
    </row>
    <row r="3206" customFormat="false" ht="15" hidden="false" customHeight="false" outlineLevel="0" collapsed="false">
      <c r="A3206" s="148" t="n">
        <v>43964</v>
      </c>
      <c r="B3206" s="37" t="n">
        <v>274.907073974609</v>
      </c>
    </row>
    <row r="3207" customFormat="false" ht="15" hidden="false" customHeight="false" outlineLevel="0" collapsed="false">
      <c r="A3207" s="148" t="n">
        <v>43965</v>
      </c>
      <c r="B3207" s="37" t="n">
        <v>274.907073974609</v>
      </c>
    </row>
    <row r="3208" customFormat="false" ht="15" hidden="false" customHeight="false" outlineLevel="0" collapsed="false">
      <c r="A3208" s="148" t="n">
        <v>43966</v>
      </c>
      <c r="B3208" s="37" t="n">
        <v>799.729614257813</v>
      </c>
    </row>
    <row r="3209" customFormat="false" ht="15" hidden="false" customHeight="false" outlineLevel="0" collapsed="false">
      <c r="A3209" s="148" t="n">
        <v>43969</v>
      </c>
      <c r="B3209" s="37" t="n">
        <v>389.868194580078</v>
      </c>
    </row>
    <row r="3210" customFormat="false" ht="15" hidden="false" customHeight="false" outlineLevel="0" collapsed="false">
      <c r="A3210" s="148" t="n">
        <v>43970</v>
      </c>
      <c r="B3210" s="37" t="n">
        <v>384.869903564453</v>
      </c>
    </row>
    <row r="3211" customFormat="false" ht="15" hidden="false" customHeight="false" outlineLevel="0" collapsed="false">
      <c r="A3211" s="148" t="n">
        <v>43971</v>
      </c>
      <c r="B3211" s="37" t="n">
        <v>419.858062744141</v>
      </c>
    </row>
    <row r="3212" customFormat="false" ht="15" hidden="false" customHeight="false" outlineLevel="0" collapsed="false">
      <c r="A3212" s="148" t="n">
        <v>43972</v>
      </c>
      <c r="B3212" s="37" t="n">
        <v>400.864501953125</v>
      </c>
    </row>
    <row r="3213" customFormat="false" ht="15" hidden="false" customHeight="false" outlineLevel="0" collapsed="false">
      <c r="A3213" s="148" t="n">
        <v>43973</v>
      </c>
      <c r="B3213" s="37" t="n">
        <v>409.861450195313</v>
      </c>
    </row>
    <row r="3214" customFormat="false" ht="15" hidden="false" customHeight="false" outlineLevel="0" collapsed="false">
      <c r="A3214" s="148" t="n">
        <v>43976</v>
      </c>
      <c r="B3214" s="37" t="n">
        <v>424.856384277344</v>
      </c>
    </row>
    <row r="3215" customFormat="false" ht="15" hidden="false" customHeight="false" outlineLevel="0" collapsed="false">
      <c r="A3215" s="148" t="n">
        <v>43977</v>
      </c>
      <c r="B3215" s="37" t="n">
        <v>424.856384277344</v>
      </c>
    </row>
    <row r="3216" customFormat="false" ht="15" hidden="false" customHeight="false" outlineLevel="0" collapsed="false">
      <c r="A3216" s="148" t="n">
        <v>43978</v>
      </c>
      <c r="B3216" s="37" t="n">
        <v>419.858062744141</v>
      </c>
    </row>
    <row r="3217" customFormat="false" ht="15" hidden="false" customHeight="false" outlineLevel="0" collapsed="false">
      <c r="A3217" s="148" t="n">
        <v>43979</v>
      </c>
      <c r="B3217" s="37" t="n">
        <v>419.858062744141</v>
      </c>
    </row>
    <row r="3218" customFormat="false" ht="15" hidden="false" customHeight="false" outlineLevel="0" collapsed="false">
      <c r="A3218" s="148" t="n">
        <v>43980</v>
      </c>
      <c r="B3218" s="37" t="n">
        <v>409.861450195313</v>
      </c>
    </row>
    <row r="3219" customFormat="false" ht="15" hidden="false" customHeight="false" outlineLevel="0" collapsed="false">
      <c r="A3219" s="148" t="n">
        <v>43983</v>
      </c>
      <c r="B3219" s="37" t="n">
        <v>376.872589111328</v>
      </c>
    </row>
    <row r="3220" customFormat="false" ht="15" hidden="false" customHeight="false" outlineLevel="0" collapsed="false">
      <c r="A3220" s="148" t="n">
        <v>43984</v>
      </c>
      <c r="B3220" s="37" t="n">
        <v>399.864807128906</v>
      </c>
    </row>
    <row r="3221" customFormat="false" ht="15" hidden="false" customHeight="false" outlineLevel="0" collapsed="false">
      <c r="A3221" s="148" t="n">
        <v>43985</v>
      </c>
      <c r="B3221" s="37" t="n">
        <v>399.864807128906</v>
      </c>
    </row>
    <row r="3222" customFormat="false" ht="15" hidden="false" customHeight="false" outlineLevel="0" collapsed="false">
      <c r="A3222" s="148" t="n">
        <v>43986</v>
      </c>
      <c r="B3222" s="37" t="n">
        <v>409.861450195313</v>
      </c>
    </row>
    <row r="3223" customFormat="false" ht="15" hidden="false" customHeight="false" outlineLevel="0" collapsed="false">
      <c r="A3223" s="148" t="n">
        <v>43987</v>
      </c>
      <c r="B3223" s="37" t="n">
        <v>424.856384277344</v>
      </c>
    </row>
    <row r="3224" customFormat="false" ht="15" hidden="false" customHeight="false" outlineLevel="0" collapsed="false">
      <c r="A3224" s="148" t="n">
        <v>43990</v>
      </c>
      <c r="B3224" s="37" t="n">
        <v>424.856384277344</v>
      </c>
    </row>
    <row r="3225" customFormat="false" ht="15" hidden="false" customHeight="false" outlineLevel="0" collapsed="false">
      <c r="A3225" s="148" t="n">
        <v>43991</v>
      </c>
      <c r="B3225" s="37" t="n">
        <v>399.864807128906</v>
      </c>
    </row>
    <row r="3226" customFormat="false" ht="15" hidden="false" customHeight="false" outlineLevel="0" collapsed="false">
      <c r="A3226" s="148" t="n">
        <v>43992</v>
      </c>
      <c r="B3226" s="37" t="n">
        <v>399.864807128906</v>
      </c>
    </row>
    <row r="3227" customFormat="false" ht="15" hidden="false" customHeight="false" outlineLevel="0" collapsed="false">
      <c r="A3227" s="148" t="n">
        <v>43993</v>
      </c>
      <c r="B3227" s="37" t="n">
        <v>389.868194580078</v>
      </c>
    </row>
    <row r="3228" customFormat="false" ht="15" hidden="false" customHeight="false" outlineLevel="0" collapsed="false">
      <c r="A3228" s="148" t="n">
        <v>43994</v>
      </c>
      <c r="B3228" s="37" t="n">
        <v>399.864807128906</v>
      </c>
    </row>
    <row r="3229" customFormat="false" ht="15" hidden="false" customHeight="false" outlineLevel="0" collapsed="false">
      <c r="A3229" s="148" t="n">
        <v>43997</v>
      </c>
      <c r="B3229" s="37" t="n">
        <v>394.866516113281</v>
      </c>
    </row>
    <row r="3230" customFormat="false" ht="15" hidden="false" customHeight="false" outlineLevel="0" collapsed="false">
      <c r="A3230" s="148" t="n">
        <v>43999</v>
      </c>
      <c r="B3230" s="37" t="n">
        <v>350.881378173828</v>
      </c>
    </row>
    <row r="3231" customFormat="false" ht="15" hidden="false" customHeight="false" outlineLevel="0" collapsed="false">
      <c r="A3231" s="148" t="n">
        <v>44000</v>
      </c>
      <c r="B3231" s="37" t="n">
        <v>389.868194580078</v>
      </c>
    </row>
    <row r="3232" customFormat="false" ht="15" hidden="false" customHeight="false" outlineLevel="0" collapsed="false">
      <c r="A3232" s="148" t="n">
        <v>44001</v>
      </c>
      <c r="B3232" s="37" t="n">
        <v>389.868194580078</v>
      </c>
    </row>
    <row r="3233" customFormat="false" ht="15" hidden="false" customHeight="false" outlineLevel="0" collapsed="false">
      <c r="A3233" s="148" t="n">
        <v>44004</v>
      </c>
      <c r="B3233" s="37" t="n">
        <v>389.868194580078</v>
      </c>
    </row>
    <row r="3234" customFormat="false" ht="15" hidden="false" customHeight="false" outlineLevel="0" collapsed="false">
      <c r="A3234" s="148" t="n">
        <v>44005</v>
      </c>
      <c r="B3234" s="37" t="n">
        <v>379.87158203125</v>
      </c>
    </row>
    <row r="3235" customFormat="false" ht="15" hidden="false" customHeight="false" outlineLevel="0" collapsed="false">
      <c r="A3235" s="148" t="n">
        <v>44006</v>
      </c>
      <c r="B3235" s="37" t="n">
        <v>343.883758544922</v>
      </c>
    </row>
    <row r="3236" customFormat="false" ht="15" hidden="false" customHeight="false" outlineLevel="0" collapsed="false">
      <c r="A3236" s="148" t="n">
        <v>44007</v>
      </c>
      <c r="B3236" s="37" t="n">
        <v>373.873626708984</v>
      </c>
    </row>
    <row r="3237" customFormat="false" ht="15" hidden="false" customHeight="false" outlineLevel="0" collapsed="false">
      <c r="A3237" s="148" t="n">
        <v>44008</v>
      </c>
      <c r="B3237" s="37" t="n">
        <v>371.874298095703</v>
      </c>
    </row>
    <row r="3238" customFormat="false" ht="15" hidden="false" customHeight="false" outlineLevel="0" collapsed="false">
      <c r="A3238" s="148" t="n">
        <v>44011</v>
      </c>
      <c r="B3238" s="37" t="n">
        <v>389.868194580078</v>
      </c>
    </row>
    <row r="3239" customFormat="false" ht="15" hidden="false" customHeight="false" outlineLevel="0" collapsed="false">
      <c r="A3239" s="148" t="n">
        <v>44012</v>
      </c>
      <c r="B3239" s="37" t="n">
        <v>349.881713867188</v>
      </c>
    </row>
    <row r="3240" customFormat="false" ht="15" hidden="false" customHeight="false" outlineLevel="0" collapsed="false">
      <c r="A3240" s="148" t="n">
        <v>44013</v>
      </c>
      <c r="B3240" s="37" t="n">
        <v>349.881713867188</v>
      </c>
    </row>
    <row r="3241" customFormat="false" ht="15" hidden="false" customHeight="false" outlineLevel="0" collapsed="false">
      <c r="A3241" s="148" t="n">
        <v>44014</v>
      </c>
      <c r="B3241" s="37" t="n">
        <v>349.881713867188</v>
      </c>
    </row>
    <row r="3242" customFormat="false" ht="15" hidden="false" customHeight="false" outlineLevel="0" collapsed="false">
      <c r="A3242" s="148" t="n">
        <v>44015</v>
      </c>
      <c r="B3242" s="37" t="n">
        <v>349.881713867188</v>
      </c>
    </row>
    <row r="3243" customFormat="false" ht="15" hidden="false" customHeight="false" outlineLevel="0" collapsed="false">
      <c r="A3243" s="148" t="n">
        <v>44018</v>
      </c>
      <c r="B3243" s="37" t="n">
        <v>359.878326416016</v>
      </c>
    </row>
    <row r="3244" customFormat="false" ht="15" hidden="false" customHeight="false" outlineLevel="0" collapsed="false">
      <c r="A3244" s="148" t="n">
        <v>44019</v>
      </c>
      <c r="B3244" s="37" t="n">
        <v>359.878326416016</v>
      </c>
    </row>
    <row r="3245" customFormat="false" ht="15" hidden="false" customHeight="false" outlineLevel="0" collapsed="false">
      <c r="A3245" s="148" t="n">
        <v>44020</v>
      </c>
      <c r="B3245" s="37" t="n">
        <v>361.877655029297</v>
      </c>
    </row>
    <row r="3246" customFormat="false" ht="15" hidden="false" customHeight="false" outlineLevel="0" collapsed="false">
      <c r="A3246" s="148" t="n">
        <v>44021</v>
      </c>
      <c r="B3246" s="37" t="n">
        <v>349.881713867188</v>
      </c>
    </row>
    <row r="3247" customFormat="false" ht="15" hidden="false" customHeight="false" outlineLevel="0" collapsed="false">
      <c r="A3247" s="148" t="n">
        <v>44022</v>
      </c>
      <c r="B3247" s="37" t="n">
        <v>349.881713867188</v>
      </c>
    </row>
    <row r="3248" customFormat="false" ht="15" hidden="false" customHeight="false" outlineLevel="0" collapsed="false">
      <c r="A3248" s="148" t="n">
        <v>44025</v>
      </c>
      <c r="B3248" s="37" t="n">
        <v>347.882385253906</v>
      </c>
    </row>
    <row r="3249" customFormat="false" ht="15" hidden="false" customHeight="false" outlineLevel="0" collapsed="false">
      <c r="A3249" s="148" t="n">
        <v>44026</v>
      </c>
      <c r="B3249" s="37" t="n">
        <v>329.888488769531</v>
      </c>
    </row>
    <row r="3250" customFormat="false" ht="15" hidden="false" customHeight="false" outlineLevel="0" collapsed="false">
      <c r="A3250" s="148" t="n">
        <v>44027</v>
      </c>
      <c r="B3250" s="37" t="n">
        <v>309.895233154297</v>
      </c>
    </row>
    <row r="3251" customFormat="false" ht="15" hidden="false" customHeight="false" outlineLevel="0" collapsed="false">
      <c r="A3251" s="148" t="n">
        <v>44028</v>
      </c>
      <c r="B3251" s="37" t="n">
        <v>299.898620605469</v>
      </c>
    </row>
    <row r="3252" customFormat="false" ht="15" hidden="false" customHeight="false" outlineLevel="0" collapsed="false">
      <c r="A3252" s="148" t="n">
        <v>44029</v>
      </c>
      <c r="B3252" s="37" t="n">
        <v>274.907073974609</v>
      </c>
    </row>
    <row r="3253" customFormat="false" ht="15" hidden="false" customHeight="false" outlineLevel="0" collapsed="false">
      <c r="A3253" s="148" t="n">
        <v>44032</v>
      </c>
      <c r="B3253" s="37" t="n">
        <v>290.901641845703</v>
      </c>
    </row>
    <row r="3254" customFormat="false" ht="15" hidden="false" customHeight="false" outlineLevel="0" collapsed="false">
      <c r="A3254" s="148" t="n">
        <v>44033</v>
      </c>
      <c r="B3254" s="37" t="n">
        <v>339.885101318359</v>
      </c>
    </row>
    <row r="3255" customFormat="false" ht="15" hidden="false" customHeight="false" outlineLevel="0" collapsed="false">
      <c r="A3255" s="148" t="n">
        <v>44034</v>
      </c>
      <c r="B3255" s="37" t="n">
        <v>339.885101318359</v>
      </c>
    </row>
    <row r="3256" customFormat="false" ht="15" hidden="false" customHeight="false" outlineLevel="0" collapsed="false">
      <c r="A3256" s="148" t="n">
        <v>44035</v>
      </c>
      <c r="B3256" s="37" t="n">
        <v>338.885437011719</v>
      </c>
    </row>
    <row r="3257" customFormat="false" ht="15" hidden="false" customHeight="false" outlineLevel="0" collapsed="false">
      <c r="A3257" s="148" t="n">
        <v>44036</v>
      </c>
      <c r="B3257" s="37" t="n">
        <v>329.888488769531</v>
      </c>
    </row>
    <row r="3258" customFormat="false" ht="15" hidden="false" customHeight="false" outlineLevel="0" collapsed="false">
      <c r="A3258" s="148" t="n">
        <v>44039</v>
      </c>
      <c r="B3258" s="37" t="n">
        <v>329.888488769531</v>
      </c>
    </row>
    <row r="3259" customFormat="false" ht="15" hidden="false" customHeight="false" outlineLevel="0" collapsed="false">
      <c r="A3259" s="148" t="n">
        <v>44040</v>
      </c>
      <c r="B3259" s="37" t="n">
        <v>299.898620605469</v>
      </c>
    </row>
    <row r="3260" customFormat="false" ht="15" hidden="false" customHeight="false" outlineLevel="0" collapsed="false">
      <c r="A3260" s="148" t="n">
        <v>44041</v>
      </c>
      <c r="B3260" s="37" t="n">
        <v>296.899627685547</v>
      </c>
    </row>
    <row r="3261" customFormat="false" ht="15" hidden="false" customHeight="false" outlineLevel="0" collapsed="false">
      <c r="A3261" s="148" t="n">
        <v>44042</v>
      </c>
      <c r="B3261" s="37" t="n">
        <v>284.903717041016</v>
      </c>
    </row>
    <row r="3262" customFormat="false" ht="15" hidden="false" customHeight="false" outlineLevel="0" collapsed="false">
      <c r="A3262" s="148" t="n">
        <v>44043</v>
      </c>
      <c r="B3262" s="37" t="n">
        <v>283.904022216797</v>
      </c>
    </row>
    <row r="3263" customFormat="false" ht="15" hidden="false" customHeight="false" outlineLevel="0" collapsed="false">
      <c r="A3263" s="148" t="n">
        <v>44046</v>
      </c>
      <c r="B3263" s="37" t="n">
        <v>261.911468505859</v>
      </c>
    </row>
    <row r="3264" customFormat="false" ht="15" hidden="false" customHeight="false" outlineLevel="0" collapsed="false">
      <c r="A3264" s="148" t="n">
        <v>44047</v>
      </c>
      <c r="B3264" s="37" t="n">
        <v>269.908752441406</v>
      </c>
    </row>
    <row r="3265" customFormat="false" ht="15" hidden="false" customHeight="false" outlineLevel="0" collapsed="false">
      <c r="A3265" s="148" t="n">
        <v>44048</v>
      </c>
      <c r="B3265" s="37" t="n">
        <v>289.902008056641</v>
      </c>
    </row>
    <row r="3266" customFormat="false" ht="15" hidden="false" customHeight="false" outlineLevel="0" collapsed="false">
      <c r="A3266" s="148" t="n">
        <v>44049</v>
      </c>
      <c r="B3266" s="37" t="n">
        <v>298.898956298828</v>
      </c>
    </row>
    <row r="3267" customFormat="false" ht="15" hidden="false" customHeight="false" outlineLevel="0" collapsed="false">
      <c r="A3267" s="148" t="n">
        <v>44050</v>
      </c>
      <c r="B3267" s="37" t="n">
        <v>249.91552734375</v>
      </c>
    </row>
    <row r="3268" customFormat="false" ht="15" hidden="false" customHeight="false" outlineLevel="0" collapsed="false">
      <c r="A3268" s="148" t="n">
        <v>44054</v>
      </c>
      <c r="B3268" s="37" t="n">
        <v>249.91552734375</v>
      </c>
    </row>
    <row r="3269" customFormat="false" ht="15" hidden="false" customHeight="false" outlineLevel="0" collapsed="false">
      <c r="A3269" s="148" t="n">
        <v>44055</v>
      </c>
      <c r="B3269" s="37" t="n">
        <v>250.915176391602</v>
      </c>
    </row>
    <row r="3270" customFormat="false" ht="15" hidden="false" customHeight="false" outlineLevel="0" collapsed="false">
      <c r="A3270" s="148" t="n">
        <v>44056</v>
      </c>
      <c r="B3270" s="37" t="n">
        <v>250.915176391602</v>
      </c>
    </row>
    <row r="3271" customFormat="false" ht="15" hidden="false" customHeight="false" outlineLevel="0" collapsed="false">
      <c r="A3271" s="148" t="n">
        <v>44057</v>
      </c>
      <c r="B3271" s="37" t="n">
        <v>249.91552734375</v>
      </c>
    </row>
    <row r="3272" customFormat="false" ht="15" hidden="false" customHeight="false" outlineLevel="0" collapsed="false">
      <c r="A3272" s="148" t="n">
        <v>44060</v>
      </c>
      <c r="B3272" s="37" t="n">
        <v>279.905364990234</v>
      </c>
    </row>
    <row r="3273" customFormat="false" ht="15" hidden="false" customHeight="false" outlineLevel="0" collapsed="false">
      <c r="A3273" s="148" t="n">
        <v>44061</v>
      </c>
      <c r="B3273" s="37" t="n">
        <v>259.912139892578</v>
      </c>
    </row>
    <row r="3274" customFormat="false" ht="15" hidden="false" customHeight="false" outlineLevel="0" collapsed="false">
      <c r="A3274" s="148" t="n">
        <v>44062</v>
      </c>
      <c r="B3274" s="37" t="n">
        <v>249.91552734375</v>
      </c>
    </row>
    <row r="3275" customFormat="false" ht="15" hidden="false" customHeight="false" outlineLevel="0" collapsed="false">
      <c r="A3275" s="148" t="n">
        <v>44063</v>
      </c>
      <c r="B3275" s="37" t="n">
        <v>298.898956298828</v>
      </c>
    </row>
    <row r="3276" customFormat="false" ht="15" hidden="false" customHeight="false" outlineLevel="0" collapsed="false">
      <c r="A3276" s="148" t="n">
        <v>44064</v>
      </c>
      <c r="B3276" s="37" t="n">
        <v>298.898956298828</v>
      </c>
    </row>
    <row r="3277" customFormat="false" ht="15" hidden="false" customHeight="false" outlineLevel="0" collapsed="false">
      <c r="A3277" s="148" t="n">
        <v>44067</v>
      </c>
      <c r="B3277" s="37" t="n">
        <v>298.898956298828</v>
      </c>
    </row>
    <row r="3278" customFormat="false" ht="15" hidden="false" customHeight="false" outlineLevel="0" collapsed="false">
      <c r="A3278" s="148" t="n">
        <v>44068</v>
      </c>
      <c r="B3278" s="37" t="n">
        <v>296.899627685547</v>
      </c>
    </row>
    <row r="3279" customFormat="false" ht="15" hidden="false" customHeight="false" outlineLevel="0" collapsed="false">
      <c r="A3279" s="148" t="n">
        <v>44069</v>
      </c>
      <c r="B3279" s="37" t="n">
        <v>251.914840698242</v>
      </c>
    </row>
    <row r="3280" customFormat="false" ht="15" hidden="false" customHeight="false" outlineLevel="0" collapsed="false">
      <c r="A3280" s="148" t="n">
        <v>44070</v>
      </c>
      <c r="B3280" s="37" t="n">
        <v>255.913482666016</v>
      </c>
    </row>
    <row r="3281" customFormat="false" ht="15" hidden="false" customHeight="false" outlineLevel="0" collapsed="false">
      <c r="A3281" s="148" t="n">
        <v>44071</v>
      </c>
      <c r="B3281" s="37" t="n">
        <v>274.907073974609</v>
      </c>
    </row>
    <row r="3282" customFormat="false" ht="15" hidden="false" customHeight="false" outlineLevel="0" collapsed="false">
      <c r="A3282" s="148" t="n">
        <v>44074</v>
      </c>
      <c r="B3282" s="37" t="n">
        <v>249.91552734375</v>
      </c>
    </row>
    <row r="3283" customFormat="false" ht="15" hidden="false" customHeight="false" outlineLevel="0" collapsed="false">
      <c r="A3283" s="148" t="n">
        <v>44075</v>
      </c>
      <c r="B3283" s="37" t="n">
        <v>279.905364990234</v>
      </c>
    </row>
    <row r="3284" customFormat="false" ht="15" hidden="false" customHeight="false" outlineLevel="0" collapsed="false">
      <c r="A3284" s="148" t="n">
        <v>44076</v>
      </c>
      <c r="B3284" s="37" t="n">
        <v>251.914840698242</v>
      </c>
    </row>
    <row r="3285" customFormat="false" ht="15" hidden="false" customHeight="false" outlineLevel="0" collapsed="false">
      <c r="A3285" s="148" t="n">
        <v>44077</v>
      </c>
      <c r="B3285" s="37" t="n">
        <v>250.915176391602</v>
      </c>
    </row>
    <row r="3286" customFormat="false" ht="15" hidden="false" customHeight="false" outlineLevel="0" collapsed="false">
      <c r="A3286" s="148" t="n">
        <v>44078</v>
      </c>
      <c r="B3286" s="37" t="n">
        <v>249.91552734375</v>
      </c>
    </row>
    <row r="3287" customFormat="false" ht="15" hidden="false" customHeight="false" outlineLevel="0" collapsed="false">
      <c r="A3287" s="148" t="n">
        <v>44081</v>
      </c>
      <c r="B3287" s="37" t="n">
        <v>249.91552734375</v>
      </c>
    </row>
    <row r="3288" customFormat="false" ht="15" hidden="false" customHeight="false" outlineLevel="0" collapsed="false">
      <c r="A3288" s="148" t="n">
        <v>44082</v>
      </c>
      <c r="B3288" s="37" t="n">
        <v>259.912139892578</v>
      </c>
    </row>
    <row r="3289" customFormat="false" ht="15" hidden="false" customHeight="false" outlineLevel="0" collapsed="false">
      <c r="A3289" s="148" t="n">
        <v>44083</v>
      </c>
      <c r="B3289" s="37" t="n">
        <v>278.905731201172</v>
      </c>
    </row>
    <row r="3290" customFormat="false" ht="15" hidden="false" customHeight="false" outlineLevel="0" collapsed="false">
      <c r="A3290" s="148" t="n">
        <v>44084</v>
      </c>
      <c r="B3290" s="37" t="n">
        <v>249.91552734375</v>
      </c>
    </row>
    <row r="3291" customFormat="false" ht="15" hidden="false" customHeight="false" outlineLevel="0" collapsed="false">
      <c r="A3291" s="148" t="n">
        <v>44085</v>
      </c>
      <c r="B3291" s="37" t="n">
        <v>264.910461425781</v>
      </c>
    </row>
    <row r="3292" customFormat="false" ht="15" hidden="false" customHeight="false" outlineLevel="0" collapsed="false">
      <c r="A3292" s="148" t="n">
        <v>44088</v>
      </c>
      <c r="B3292" s="37" t="n">
        <v>251.914840698242</v>
      </c>
    </row>
    <row r="3293" customFormat="false" ht="15" hidden="false" customHeight="false" outlineLevel="0" collapsed="false">
      <c r="A3293" s="148" t="n">
        <v>44089</v>
      </c>
      <c r="B3293" s="37" t="n">
        <v>269.908752441406</v>
      </c>
    </row>
    <row r="3294" customFormat="false" ht="15" hidden="false" customHeight="false" outlineLevel="0" collapsed="false">
      <c r="A3294" s="148" t="n">
        <v>44090</v>
      </c>
      <c r="B3294" s="37" t="n">
        <v>277.906036376953</v>
      </c>
    </row>
    <row r="3295" customFormat="false" ht="15" hidden="false" customHeight="false" outlineLevel="0" collapsed="false">
      <c r="A3295" s="148" t="n">
        <v>44091</v>
      </c>
      <c r="B3295" s="37" t="n">
        <v>269.908752441406</v>
      </c>
    </row>
    <row r="3296" customFormat="false" ht="15" hidden="false" customHeight="false" outlineLevel="0" collapsed="false">
      <c r="A3296" s="148" t="n">
        <v>44092</v>
      </c>
      <c r="B3296" s="37" t="n">
        <v>258.912475585938</v>
      </c>
    </row>
    <row r="3297" customFormat="false" ht="15" hidden="false" customHeight="false" outlineLevel="0" collapsed="false">
      <c r="A3297" s="148" t="n">
        <v>44095</v>
      </c>
      <c r="B3297" s="37" t="n">
        <v>269.908752441406</v>
      </c>
    </row>
    <row r="3298" customFormat="false" ht="15" hidden="false" customHeight="false" outlineLevel="0" collapsed="false">
      <c r="A3298" s="148" t="n">
        <v>44096</v>
      </c>
      <c r="B3298" s="37" t="n">
        <v>269.908752441406</v>
      </c>
    </row>
    <row r="3299" customFormat="false" ht="15" hidden="false" customHeight="false" outlineLevel="0" collapsed="false">
      <c r="A3299" s="148" t="n">
        <v>44097</v>
      </c>
      <c r="B3299" s="37" t="n">
        <v>249.91552734375</v>
      </c>
    </row>
    <row r="3300" customFormat="false" ht="15" hidden="false" customHeight="false" outlineLevel="0" collapsed="false">
      <c r="A3300" s="148" t="n">
        <v>44099</v>
      </c>
      <c r="B3300" s="37" t="n">
        <v>269.908752441406</v>
      </c>
    </row>
    <row r="3301" customFormat="false" ht="15" hidden="false" customHeight="false" outlineLevel="0" collapsed="false">
      <c r="A3301" s="148" t="n">
        <v>44102</v>
      </c>
      <c r="B3301" s="37" t="n">
        <v>269.908752441406</v>
      </c>
    </row>
    <row r="3302" customFormat="false" ht="15" hidden="false" customHeight="false" outlineLevel="0" collapsed="false">
      <c r="A3302" s="148" t="n">
        <v>44103</v>
      </c>
      <c r="B3302" s="37" t="n">
        <v>269.908752441406</v>
      </c>
    </row>
    <row r="3303" customFormat="false" ht="15" hidden="false" customHeight="false" outlineLevel="0" collapsed="false">
      <c r="A3303" s="148" t="n">
        <v>44104</v>
      </c>
      <c r="B3303" s="37" t="n">
        <v>269.908752441406</v>
      </c>
    </row>
    <row r="3304" customFormat="false" ht="15" hidden="false" customHeight="false" outlineLevel="0" collapsed="false">
      <c r="A3304" s="148" t="n">
        <v>44105</v>
      </c>
      <c r="B3304" s="37" t="n">
        <v>264.910461425781</v>
      </c>
    </row>
    <row r="3305" customFormat="false" ht="15" hidden="false" customHeight="false" outlineLevel="0" collapsed="false">
      <c r="A3305" s="148" t="n">
        <v>44106</v>
      </c>
      <c r="B3305" s="37" t="n">
        <v>242.917877197266</v>
      </c>
    </row>
    <row r="3306" customFormat="false" ht="15" hidden="false" customHeight="false" outlineLevel="0" collapsed="false">
      <c r="A3306" s="148" t="n">
        <v>44109</v>
      </c>
      <c r="B3306" s="37" t="n">
        <v>249.91552734375</v>
      </c>
    </row>
    <row r="3307" customFormat="false" ht="15" hidden="false" customHeight="false" outlineLevel="0" collapsed="false">
      <c r="A3307" s="148" t="n">
        <v>44110</v>
      </c>
      <c r="B3307" s="37" t="n">
        <v>248.915863037109</v>
      </c>
    </row>
    <row r="3308" customFormat="false" ht="15" hidden="false" customHeight="false" outlineLevel="0" collapsed="false">
      <c r="A3308" s="148" t="n">
        <v>44111</v>
      </c>
      <c r="B3308" s="37" t="n">
        <v>248.915863037109</v>
      </c>
    </row>
    <row r="3309" customFormat="false" ht="15" hidden="false" customHeight="false" outlineLevel="0" collapsed="false">
      <c r="A3309" s="148" t="n">
        <v>44112</v>
      </c>
      <c r="B3309" s="37" t="n">
        <v>247.916198730469</v>
      </c>
    </row>
    <row r="3310" customFormat="false" ht="15" hidden="false" customHeight="false" outlineLevel="0" collapsed="false">
      <c r="A3310" s="148" t="n">
        <v>44113</v>
      </c>
      <c r="B3310" s="37" t="n">
        <v>247.916198730469</v>
      </c>
    </row>
    <row r="3311" customFormat="false" ht="15" hidden="false" customHeight="false" outlineLevel="0" collapsed="false">
      <c r="A3311" s="148" t="n">
        <v>44116</v>
      </c>
      <c r="B3311" s="37" t="n">
        <v>244.917205810547</v>
      </c>
    </row>
    <row r="3312" customFormat="false" ht="15" hidden="false" customHeight="false" outlineLevel="0" collapsed="false">
      <c r="A3312" s="148" t="n">
        <v>44117</v>
      </c>
      <c r="B3312" s="37" t="n">
        <v>245.916870117188</v>
      </c>
    </row>
    <row r="3313" customFormat="false" ht="15" hidden="false" customHeight="false" outlineLevel="0" collapsed="false">
      <c r="A3313" s="148" t="n">
        <v>44118</v>
      </c>
      <c r="B3313" s="37" t="n">
        <v>245.916870117188</v>
      </c>
    </row>
    <row r="3314" customFormat="false" ht="15" hidden="false" customHeight="false" outlineLevel="0" collapsed="false">
      <c r="A3314" s="148" t="n">
        <v>44119</v>
      </c>
      <c r="B3314" s="37" t="n">
        <v>245.916870117188</v>
      </c>
    </row>
    <row r="3315" customFormat="false" ht="15" hidden="false" customHeight="false" outlineLevel="0" collapsed="false">
      <c r="A3315" s="148" t="n">
        <v>44120</v>
      </c>
      <c r="B3315" s="37" t="n">
        <v>246.916534423828</v>
      </c>
    </row>
    <row r="3316" customFormat="false" ht="15" hidden="false" customHeight="false" outlineLevel="0" collapsed="false">
      <c r="A3316" s="148" t="n">
        <v>44123</v>
      </c>
      <c r="B3316" s="37" t="n">
        <v>240.918548583984</v>
      </c>
    </row>
    <row r="3317" customFormat="false" ht="15" hidden="false" customHeight="false" outlineLevel="0" collapsed="false">
      <c r="A3317" s="148" t="n">
        <v>44124</v>
      </c>
      <c r="B3317" s="37" t="n">
        <v>245.916870117188</v>
      </c>
    </row>
    <row r="3318" customFormat="false" ht="15" hidden="false" customHeight="false" outlineLevel="0" collapsed="false">
      <c r="A3318" s="148" t="n">
        <v>44125</v>
      </c>
      <c r="B3318" s="37" t="n">
        <v>239.918899536133</v>
      </c>
    </row>
    <row r="3319" customFormat="false" ht="15" hidden="false" customHeight="false" outlineLevel="0" collapsed="false">
      <c r="A3319" s="148" t="n">
        <v>44126</v>
      </c>
      <c r="B3319" s="37" t="n">
        <v>239.918899536133</v>
      </c>
    </row>
    <row r="3320" customFormat="false" ht="15" hidden="false" customHeight="false" outlineLevel="0" collapsed="false">
      <c r="A3320" s="148" t="n">
        <v>44127</v>
      </c>
      <c r="B3320" s="37" t="n">
        <v>251.914840698242</v>
      </c>
    </row>
    <row r="3321" customFormat="false" ht="15" hidden="false" customHeight="false" outlineLevel="0" collapsed="false">
      <c r="A3321" s="148" t="n">
        <v>44130</v>
      </c>
      <c r="B3321" s="37" t="n">
        <v>229.922286987305</v>
      </c>
    </row>
    <row r="3322" customFormat="false" ht="15" hidden="false" customHeight="false" outlineLevel="0" collapsed="false">
      <c r="A3322" s="148" t="n">
        <v>44131</v>
      </c>
      <c r="B3322" s="37" t="n">
        <v>238.919235229492</v>
      </c>
    </row>
    <row r="3323" customFormat="false" ht="15" hidden="false" customHeight="false" outlineLevel="0" collapsed="false">
      <c r="A3323" s="148" t="n">
        <v>44132</v>
      </c>
      <c r="B3323" s="37" t="n">
        <v>229.922286987305</v>
      </c>
    </row>
    <row r="3324" customFormat="false" ht="15" hidden="false" customHeight="false" outlineLevel="0" collapsed="false">
      <c r="A3324" s="148" t="n">
        <v>44133</v>
      </c>
      <c r="B3324" s="37" t="n">
        <v>241.918212890625</v>
      </c>
    </row>
    <row r="3325" customFormat="false" ht="15" hidden="false" customHeight="false" outlineLevel="0" collapsed="false">
      <c r="A3325" s="148" t="n">
        <v>44134</v>
      </c>
      <c r="B3325" s="37" t="n">
        <v>253.914169311523</v>
      </c>
    </row>
    <row r="3326" customFormat="false" ht="15" hidden="false" customHeight="false" outlineLevel="0" collapsed="false">
      <c r="A3326" s="148" t="n">
        <v>44137</v>
      </c>
      <c r="B3326" s="37" t="n">
        <v>253.914169311523</v>
      </c>
    </row>
    <row r="3327" customFormat="false" ht="15" hidden="false" customHeight="false" outlineLevel="0" collapsed="false">
      <c r="A3327" s="148" t="n">
        <v>44138</v>
      </c>
      <c r="B3327" s="37" t="n">
        <v>239.918899536133</v>
      </c>
    </row>
    <row r="3328" customFormat="false" ht="15" hidden="false" customHeight="false" outlineLevel="0" collapsed="false">
      <c r="A3328" s="148" t="n">
        <v>44139</v>
      </c>
      <c r="B3328" s="37" t="n">
        <v>239.918899536133</v>
      </c>
    </row>
    <row r="3329" customFormat="false" ht="15" hidden="false" customHeight="false" outlineLevel="0" collapsed="false">
      <c r="A3329" s="148" t="n">
        <v>44140</v>
      </c>
      <c r="B3329" s="37" t="n">
        <v>239.918899536133</v>
      </c>
    </row>
    <row r="3330" customFormat="false" ht="15" hidden="false" customHeight="false" outlineLevel="0" collapsed="false">
      <c r="A3330" s="148" t="n">
        <v>44141</v>
      </c>
      <c r="B3330" s="37" t="n">
        <v>239.918899536133</v>
      </c>
    </row>
    <row r="3331" customFormat="false" ht="15" hidden="false" customHeight="false" outlineLevel="0" collapsed="false">
      <c r="A3331" s="148" t="n">
        <v>44144</v>
      </c>
      <c r="B3331" s="37" t="n">
        <v>234.920593261719</v>
      </c>
    </row>
    <row r="3332" customFormat="false" ht="15" hidden="false" customHeight="false" outlineLevel="0" collapsed="false">
      <c r="A3332" s="148" t="n">
        <v>44145</v>
      </c>
      <c r="B3332" s="37" t="n">
        <v>239.918899536133</v>
      </c>
    </row>
    <row r="3333" customFormat="false" ht="15" hidden="false" customHeight="false" outlineLevel="0" collapsed="false">
      <c r="A3333" s="148" t="n">
        <v>44146</v>
      </c>
      <c r="B3333" s="37" t="n">
        <v>238.919235229492</v>
      </c>
    </row>
    <row r="3334" customFormat="false" ht="15" hidden="false" customHeight="false" outlineLevel="0" collapsed="false">
      <c r="A3334" s="148" t="n">
        <v>44147</v>
      </c>
      <c r="B3334" s="37" t="n">
        <v>234.920593261719</v>
      </c>
    </row>
    <row r="3335" customFormat="false" ht="15" hidden="false" customHeight="false" outlineLevel="0" collapsed="false">
      <c r="A3335" s="148" t="n">
        <v>44148</v>
      </c>
      <c r="B3335" s="37" t="n">
        <v>239.918899536133</v>
      </c>
    </row>
    <row r="3336" customFormat="false" ht="15" hidden="false" customHeight="false" outlineLevel="0" collapsed="false">
      <c r="A3336" s="148" t="n">
        <v>44151</v>
      </c>
      <c r="B3336" s="37" t="n">
        <v>239.918899536133</v>
      </c>
    </row>
    <row r="3337" customFormat="false" ht="15" hidden="false" customHeight="false" outlineLevel="0" collapsed="false">
      <c r="A3337" s="148" t="n">
        <v>44152</v>
      </c>
      <c r="B3337" s="37" t="n">
        <v>232.921264648438</v>
      </c>
    </row>
    <row r="3338" customFormat="false" ht="15" hidden="false" customHeight="false" outlineLevel="0" collapsed="false">
      <c r="A3338" s="148" t="n">
        <v>44153</v>
      </c>
      <c r="B3338" s="37" t="n">
        <v>232.921264648438</v>
      </c>
    </row>
    <row r="3339" customFormat="false" ht="15" hidden="false" customHeight="false" outlineLevel="0" collapsed="false">
      <c r="A3339" s="148" t="n">
        <v>44154</v>
      </c>
      <c r="B3339" s="37" t="n">
        <v>234.920593261719</v>
      </c>
    </row>
    <row r="3340" customFormat="false" ht="15" hidden="false" customHeight="false" outlineLevel="0" collapsed="false">
      <c r="A3340" s="148" t="n">
        <v>44155</v>
      </c>
      <c r="B3340" s="37" t="n">
        <v>229.922286987305</v>
      </c>
    </row>
    <row r="3341" customFormat="false" ht="15" hidden="false" customHeight="false" outlineLevel="0" collapsed="false">
      <c r="A3341" s="148" t="n">
        <v>44158</v>
      </c>
      <c r="B3341" s="37" t="n">
        <v>220.925308227539</v>
      </c>
    </row>
    <row r="3342" customFormat="false" ht="15" hidden="false" customHeight="false" outlineLevel="0" collapsed="false">
      <c r="A3342" s="148" t="n">
        <v>44159</v>
      </c>
      <c r="B3342" s="37" t="n">
        <v>219.925659179688</v>
      </c>
    </row>
    <row r="3343" customFormat="false" ht="15" hidden="false" customHeight="false" outlineLevel="0" collapsed="false">
      <c r="A3343" s="148" t="n">
        <v>44160</v>
      </c>
      <c r="B3343" s="37" t="n">
        <v>239.918899536133</v>
      </c>
    </row>
    <row r="3344" customFormat="false" ht="15" hidden="false" customHeight="false" outlineLevel="0" collapsed="false">
      <c r="A3344" s="148" t="n">
        <v>44161</v>
      </c>
      <c r="B3344" s="37" t="n">
        <v>319.891845703125</v>
      </c>
    </row>
    <row r="3345" customFormat="false" ht="15" hidden="false" customHeight="false" outlineLevel="0" collapsed="false">
      <c r="A3345" s="148" t="n">
        <v>44162</v>
      </c>
      <c r="B3345" s="37" t="n">
        <v>296.899627685547</v>
      </c>
    </row>
    <row r="3346" customFormat="false" ht="15" hidden="false" customHeight="false" outlineLevel="0" collapsed="false">
      <c r="A3346" s="148" t="n">
        <v>44165</v>
      </c>
      <c r="B3346" s="37" t="n">
        <v>274.907073974609</v>
      </c>
    </row>
    <row r="3347" customFormat="false" ht="15" hidden="false" customHeight="false" outlineLevel="0" collapsed="false">
      <c r="A3347" s="148" t="n">
        <v>44166</v>
      </c>
      <c r="B3347" s="37" t="n">
        <v>268.909088134766</v>
      </c>
    </row>
    <row r="3348" customFormat="false" ht="15" hidden="false" customHeight="false" outlineLevel="0" collapsed="false">
      <c r="A3348" s="148" t="n">
        <v>44167</v>
      </c>
      <c r="B3348" s="37" t="n">
        <v>259.912139892578</v>
      </c>
    </row>
    <row r="3349" customFormat="false" ht="15" hidden="false" customHeight="false" outlineLevel="0" collapsed="false">
      <c r="A3349" s="148" t="n">
        <v>44168</v>
      </c>
      <c r="B3349" s="37" t="n">
        <v>259.912139892578</v>
      </c>
    </row>
    <row r="3350" customFormat="false" ht="15" hidden="false" customHeight="false" outlineLevel="0" collapsed="false">
      <c r="A3350" s="148" t="n">
        <v>44169</v>
      </c>
      <c r="B3350" s="37" t="n">
        <v>269.908752441406</v>
      </c>
    </row>
    <row r="3351" customFormat="false" ht="15" hidden="false" customHeight="false" outlineLevel="0" collapsed="false">
      <c r="A3351" s="148" t="n">
        <v>44172</v>
      </c>
      <c r="B3351" s="37" t="n">
        <v>254.913833618164</v>
      </c>
    </row>
    <row r="3352" customFormat="false" ht="15" hidden="false" customHeight="false" outlineLevel="0" collapsed="false">
      <c r="A3352" s="148" t="n">
        <v>44173</v>
      </c>
      <c r="B3352" s="37" t="n">
        <v>254.913833618164</v>
      </c>
    </row>
    <row r="3353" customFormat="false" ht="15" hidden="false" customHeight="false" outlineLevel="0" collapsed="false">
      <c r="A3353" s="148" t="n">
        <v>44174</v>
      </c>
      <c r="B3353" s="37" t="n">
        <v>254.913833618164</v>
      </c>
    </row>
    <row r="3354" customFormat="false" ht="15" hidden="false" customHeight="false" outlineLevel="0" collapsed="false">
      <c r="A3354" s="148" t="n">
        <v>44175</v>
      </c>
      <c r="B3354" s="37" t="n">
        <v>259.912139892578</v>
      </c>
    </row>
    <row r="3355" customFormat="false" ht="15" hidden="false" customHeight="false" outlineLevel="0" collapsed="false">
      <c r="A3355" s="148" t="n">
        <v>44176</v>
      </c>
      <c r="B3355" s="37" t="n">
        <v>259.912139892578</v>
      </c>
    </row>
    <row r="3356" customFormat="false" ht="15" hidden="false" customHeight="false" outlineLevel="0" collapsed="false">
      <c r="A3356" s="148" t="n">
        <v>44179</v>
      </c>
      <c r="B3356" s="37" t="n">
        <v>254.913833618164</v>
      </c>
    </row>
    <row r="3357" customFormat="false" ht="15" hidden="false" customHeight="false" outlineLevel="0" collapsed="false">
      <c r="A3357" s="148" t="n">
        <v>44180</v>
      </c>
      <c r="B3357" s="37" t="n">
        <v>249.91552734375</v>
      </c>
    </row>
    <row r="3358" customFormat="false" ht="15" hidden="false" customHeight="false" outlineLevel="0" collapsed="false">
      <c r="A3358" s="148" t="n">
        <v>44182</v>
      </c>
      <c r="B3358" s="37" t="n">
        <v>249.91552734375</v>
      </c>
    </row>
    <row r="3359" customFormat="false" ht="15" hidden="false" customHeight="false" outlineLevel="0" collapsed="false">
      <c r="A3359" s="148" t="n">
        <v>44183</v>
      </c>
      <c r="B3359" s="37" t="n">
        <v>249.91552734375</v>
      </c>
    </row>
    <row r="3360" customFormat="false" ht="15" hidden="false" customHeight="false" outlineLevel="0" collapsed="false">
      <c r="A3360" s="148" t="n">
        <v>44186</v>
      </c>
      <c r="B3360" s="37" t="n">
        <v>259.912139892578</v>
      </c>
    </row>
    <row r="3361" customFormat="false" ht="15" hidden="false" customHeight="false" outlineLevel="0" collapsed="false">
      <c r="A3361" s="148" t="n">
        <v>44187</v>
      </c>
      <c r="B3361" s="37" t="n">
        <v>239.918899536133</v>
      </c>
    </row>
    <row r="3362" customFormat="false" ht="15" hidden="false" customHeight="false" outlineLevel="0" collapsed="false">
      <c r="A3362" s="148" t="n">
        <v>44188</v>
      </c>
      <c r="B3362" s="37" t="n">
        <v>254.913833618164</v>
      </c>
    </row>
    <row r="3363" customFormat="false" ht="15" hidden="false" customHeight="false" outlineLevel="0" collapsed="false">
      <c r="A3363" s="148" t="n">
        <v>44189</v>
      </c>
      <c r="B3363" s="37" t="n">
        <v>254.913833618164</v>
      </c>
    </row>
    <row r="3364" customFormat="false" ht="15" hidden="false" customHeight="false" outlineLevel="0" collapsed="false">
      <c r="A3364" s="148" t="n">
        <v>44193</v>
      </c>
      <c r="B3364" s="37" t="n">
        <v>234.920593261719</v>
      </c>
    </row>
    <row r="3365" customFormat="false" ht="15" hidden="false" customHeight="false" outlineLevel="0" collapsed="false">
      <c r="A3365" s="148" t="n">
        <v>44194</v>
      </c>
      <c r="B3365" s="37" t="n">
        <v>234.920593261719</v>
      </c>
    </row>
    <row r="3366" customFormat="false" ht="15" hidden="false" customHeight="false" outlineLevel="0" collapsed="false">
      <c r="A3366" s="148" t="n">
        <v>44195</v>
      </c>
      <c r="B3366" s="37" t="n">
        <v>218.925994873047</v>
      </c>
    </row>
    <row r="3367" customFormat="false" ht="15" hidden="false" customHeight="false" outlineLevel="0" collapsed="false">
      <c r="A3367" s="148" t="n">
        <v>44196</v>
      </c>
      <c r="B3367" s="37" t="n">
        <v>218.925994873047</v>
      </c>
    </row>
    <row r="3368" customFormat="false" ht="15" hidden="false" customHeight="false" outlineLevel="0" collapsed="false">
      <c r="A3368" s="148" t="n">
        <v>44200</v>
      </c>
      <c r="B3368" s="37" t="n">
        <v>234.920593261719</v>
      </c>
    </row>
    <row r="3369" customFormat="false" ht="15" hidden="false" customHeight="false" outlineLevel="0" collapsed="false">
      <c r="A3369" s="148" t="n">
        <v>44201</v>
      </c>
      <c r="B3369" s="37" t="n">
        <v>234.920593261719</v>
      </c>
    </row>
    <row r="3370" customFormat="false" ht="15" hidden="false" customHeight="false" outlineLevel="0" collapsed="false">
      <c r="A3370" s="148" t="n">
        <v>44202</v>
      </c>
      <c r="B3370" s="37" t="n">
        <v>234.920593261719</v>
      </c>
    </row>
    <row r="3371" customFormat="false" ht="15" hidden="false" customHeight="false" outlineLevel="0" collapsed="false">
      <c r="A3371" s="148" t="n">
        <v>44203</v>
      </c>
      <c r="B3371" s="37" t="n">
        <v>229.922286987305</v>
      </c>
    </row>
    <row r="3372" customFormat="false" ht="15" hidden="false" customHeight="false" outlineLevel="0" collapsed="false">
      <c r="A3372" s="148" t="n">
        <v>44204</v>
      </c>
      <c r="B3372" s="37" t="n">
        <v>219.925659179688</v>
      </c>
    </row>
    <row r="3373" customFormat="false" ht="15" hidden="false" customHeight="false" outlineLevel="0" collapsed="false">
      <c r="A3373" s="148" t="n">
        <v>44207</v>
      </c>
      <c r="B3373" s="37" t="n">
        <v>230.921936035156</v>
      </c>
    </row>
    <row r="3374" customFormat="false" ht="15" hidden="false" customHeight="false" outlineLevel="0" collapsed="false">
      <c r="A3374" s="148" t="n">
        <v>44208</v>
      </c>
      <c r="B3374" s="37" t="n">
        <v>221.92497253418</v>
      </c>
    </row>
    <row r="3375" customFormat="false" ht="15" hidden="false" customHeight="false" outlineLevel="0" collapsed="false">
      <c r="A3375" s="148" t="n">
        <v>44209</v>
      </c>
      <c r="B3375" s="37" t="n">
        <v>224.923965454102</v>
      </c>
    </row>
    <row r="3376" customFormat="false" ht="15" hidden="false" customHeight="false" outlineLevel="0" collapsed="false">
      <c r="A3376" s="148" t="n">
        <v>44210</v>
      </c>
      <c r="B3376" s="37" t="n">
        <v>224.923965454102</v>
      </c>
    </row>
    <row r="3377" customFormat="false" ht="15" hidden="false" customHeight="false" outlineLevel="0" collapsed="false">
      <c r="A3377" s="148" t="n">
        <v>44211</v>
      </c>
      <c r="B3377" s="37" t="n">
        <v>219.925659179688</v>
      </c>
    </row>
    <row r="3378" customFormat="false" ht="15" hidden="false" customHeight="false" outlineLevel="0" collapsed="false">
      <c r="A3378" s="148" t="n">
        <v>44214</v>
      </c>
      <c r="B3378" s="37" t="n">
        <v>205.930389404297</v>
      </c>
    </row>
    <row r="3379" customFormat="false" ht="15" hidden="false" customHeight="false" outlineLevel="0" collapsed="false">
      <c r="A3379" s="148" t="n">
        <v>44215</v>
      </c>
      <c r="B3379" s="37" t="n">
        <v>209.92903137207</v>
      </c>
    </row>
    <row r="3380" customFormat="false" ht="15" hidden="false" customHeight="false" outlineLevel="0" collapsed="false">
      <c r="A3380" s="148" t="n">
        <v>44216</v>
      </c>
      <c r="B3380" s="37" t="n">
        <v>208.929382324219</v>
      </c>
    </row>
    <row r="3381" customFormat="false" ht="15" hidden="false" customHeight="false" outlineLevel="0" collapsed="false">
      <c r="A3381" s="148" t="n">
        <v>44217</v>
      </c>
      <c r="B3381" s="37" t="n">
        <v>209.92903137207</v>
      </c>
    </row>
    <row r="3382" customFormat="false" ht="15" hidden="false" customHeight="false" outlineLevel="0" collapsed="false">
      <c r="A3382" s="148" t="n">
        <v>44218</v>
      </c>
      <c r="B3382" s="37" t="n">
        <v>203.931060791016</v>
      </c>
    </row>
    <row r="3383" customFormat="false" ht="15" hidden="false" customHeight="false" outlineLevel="0" collapsed="false">
      <c r="A3383" s="148" t="n">
        <v>44221</v>
      </c>
      <c r="B3383" s="37" t="n">
        <v>192.934783935547</v>
      </c>
    </row>
    <row r="3384" customFormat="false" ht="15" hidden="false" customHeight="false" outlineLevel="0" collapsed="false">
      <c r="A3384" s="148" t="n">
        <v>44222</v>
      </c>
      <c r="B3384" s="37" t="n">
        <v>189.935791015625</v>
      </c>
    </row>
    <row r="3385" customFormat="false" ht="15" hidden="false" customHeight="false" outlineLevel="0" collapsed="false">
      <c r="A3385" s="148" t="n">
        <v>44223</v>
      </c>
      <c r="B3385" s="37" t="n">
        <v>189.935791015625</v>
      </c>
    </row>
    <row r="3386" customFormat="false" ht="15" hidden="false" customHeight="false" outlineLevel="0" collapsed="false">
      <c r="A3386" s="148" t="n">
        <v>44224</v>
      </c>
      <c r="B3386" s="37" t="n">
        <v>200.932067871094</v>
      </c>
    </row>
    <row r="3387" customFormat="false" ht="15" hidden="false" customHeight="false" outlineLevel="0" collapsed="false">
      <c r="A3387" s="148" t="n">
        <v>44225</v>
      </c>
      <c r="B3387" s="37" t="n">
        <v>200.932067871094</v>
      </c>
    </row>
    <row r="3388" customFormat="false" ht="15" hidden="false" customHeight="false" outlineLevel="0" collapsed="false">
      <c r="A3388" s="148" t="n">
        <v>44228</v>
      </c>
      <c r="B3388" s="37" t="n">
        <v>189.935791015625</v>
      </c>
    </row>
    <row r="3389" customFormat="false" ht="15" hidden="false" customHeight="false" outlineLevel="0" collapsed="false">
      <c r="A3389" s="148" t="n">
        <v>44229</v>
      </c>
      <c r="B3389" s="37" t="n">
        <v>204.930725097656</v>
      </c>
    </row>
    <row r="3390" customFormat="false" ht="15" hidden="false" customHeight="false" outlineLevel="0" collapsed="false">
      <c r="A3390" s="148" t="n">
        <v>44230</v>
      </c>
      <c r="B3390" s="37" t="n">
        <v>204.930725097656</v>
      </c>
    </row>
    <row r="3391" customFormat="false" ht="15" hidden="false" customHeight="false" outlineLevel="0" collapsed="false">
      <c r="A3391" s="148" t="n">
        <v>44231</v>
      </c>
      <c r="B3391" s="37" t="n">
        <v>202.931396484375</v>
      </c>
    </row>
    <row r="3392" customFormat="false" ht="15" hidden="false" customHeight="false" outlineLevel="0" collapsed="false">
      <c r="A3392" s="148" t="n">
        <v>44232</v>
      </c>
      <c r="B3392" s="37" t="n">
        <v>189.935791015625</v>
      </c>
    </row>
    <row r="3393" customFormat="false" ht="15" hidden="false" customHeight="false" outlineLevel="0" collapsed="false">
      <c r="A3393" s="148" t="n">
        <v>44235</v>
      </c>
      <c r="B3393" s="37" t="n">
        <v>190.935455322266</v>
      </c>
    </row>
    <row r="3394" customFormat="false" ht="15" hidden="false" customHeight="false" outlineLevel="0" collapsed="false">
      <c r="A3394" s="148" t="n">
        <v>44236</v>
      </c>
      <c r="B3394" s="37" t="n">
        <v>209.92903137207</v>
      </c>
    </row>
    <row r="3395" customFormat="false" ht="15" hidden="false" customHeight="false" outlineLevel="0" collapsed="false">
      <c r="A3395" s="148" t="n">
        <v>44237</v>
      </c>
      <c r="B3395" s="37" t="n">
        <v>207.929718017578</v>
      </c>
    </row>
    <row r="3396" customFormat="false" ht="15" hidden="false" customHeight="false" outlineLevel="0" collapsed="false">
      <c r="A3396" s="148" t="n">
        <v>44238</v>
      </c>
      <c r="B3396" s="37" t="n">
        <v>194.934097290039</v>
      </c>
    </row>
    <row r="3397" customFormat="false" ht="15" hidden="false" customHeight="false" outlineLevel="0" collapsed="false">
      <c r="A3397" s="148" t="n">
        <v>44239</v>
      </c>
      <c r="B3397" s="37" t="n">
        <v>189.935791015625</v>
      </c>
    </row>
    <row r="3398" customFormat="false" ht="15" hidden="false" customHeight="false" outlineLevel="0" collapsed="false">
      <c r="A3398" s="148" t="n">
        <v>44242</v>
      </c>
      <c r="B3398" s="37" t="n">
        <v>194.934097290039</v>
      </c>
    </row>
    <row r="3399" customFormat="false" ht="15" hidden="false" customHeight="false" outlineLevel="0" collapsed="false">
      <c r="A3399" s="148" t="n">
        <v>44243</v>
      </c>
      <c r="B3399" s="37" t="n">
        <v>179.939163208008</v>
      </c>
    </row>
    <row r="3400" customFormat="false" ht="15" hidden="false" customHeight="false" outlineLevel="0" collapsed="false">
      <c r="A3400" s="148" t="n">
        <v>44244</v>
      </c>
      <c r="B3400" s="37" t="n">
        <v>169.94255065918</v>
      </c>
    </row>
    <row r="3401" customFormat="false" ht="15" hidden="false" customHeight="false" outlineLevel="0" collapsed="false">
      <c r="A3401" s="148" t="n">
        <v>44245</v>
      </c>
      <c r="B3401" s="37" t="n">
        <v>169.94255065918</v>
      </c>
    </row>
    <row r="3402" customFormat="false" ht="15" hidden="false" customHeight="false" outlineLevel="0" collapsed="false">
      <c r="A3402" s="148" t="n">
        <v>44246</v>
      </c>
      <c r="B3402" s="37" t="n">
        <v>184.937484741211</v>
      </c>
    </row>
    <row r="3403" customFormat="false" ht="15" hidden="false" customHeight="false" outlineLevel="0" collapsed="false">
      <c r="A3403" s="148" t="n">
        <v>44249</v>
      </c>
      <c r="B3403" s="37" t="n">
        <v>184.937484741211</v>
      </c>
    </row>
    <row r="3404" customFormat="false" ht="15" hidden="false" customHeight="false" outlineLevel="0" collapsed="false">
      <c r="A3404" s="148" t="n">
        <v>44250</v>
      </c>
      <c r="B3404" s="37" t="n">
        <v>180.938827514648</v>
      </c>
    </row>
    <row r="3405" customFormat="false" ht="15" hidden="false" customHeight="false" outlineLevel="0" collapsed="false">
      <c r="A3405" s="148" t="n">
        <v>44251</v>
      </c>
      <c r="B3405" s="37" t="n">
        <v>193.934448242188</v>
      </c>
    </row>
    <row r="3406" customFormat="false" ht="15" hidden="false" customHeight="false" outlineLevel="0" collapsed="false">
      <c r="A3406" s="148" t="n">
        <v>44252</v>
      </c>
      <c r="B3406" s="37" t="n">
        <v>188.936141967773</v>
      </c>
    </row>
    <row r="3407" customFormat="false" ht="15" hidden="false" customHeight="false" outlineLevel="0" collapsed="false">
      <c r="A3407" s="148" t="n">
        <v>44253</v>
      </c>
      <c r="B3407" s="37" t="n">
        <v>189.935791015625</v>
      </c>
    </row>
    <row r="3408" customFormat="false" ht="15" hidden="false" customHeight="false" outlineLevel="0" collapsed="false">
      <c r="A3408" s="148" t="n">
        <v>44256</v>
      </c>
      <c r="B3408" s="37" t="n">
        <v>191.935119628906</v>
      </c>
    </row>
    <row r="3409" customFormat="false" ht="15" hidden="false" customHeight="false" outlineLevel="0" collapsed="false">
      <c r="A3409" s="148" t="n">
        <v>44257</v>
      </c>
      <c r="B3409" s="37" t="n">
        <v>204.930725097656</v>
      </c>
    </row>
    <row r="3410" customFormat="false" ht="15" hidden="false" customHeight="false" outlineLevel="0" collapsed="false">
      <c r="A3410" s="148" t="n">
        <v>44258</v>
      </c>
      <c r="B3410" s="37" t="n">
        <v>199.932403564453</v>
      </c>
    </row>
    <row r="3411" customFormat="false" ht="15" hidden="false" customHeight="false" outlineLevel="0" collapsed="false">
      <c r="A3411" s="148" t="n">
        <v>44259</v>
      </c>
      <c r="B3411" s="37" t="n">
        <v>209.92903137207</v>
      </c>
    </row>
    <row r="3412" customFormat="false" ht="15" hidden="false" customHeight="false" outlineLevel="0" collapsed="false">
      <c r="A3412" s="148" t="n">
        <v>44260</v>
      </c>
      <c r="B3412" s="37" t="n">
        <v>209.92903137207</v>
      </c>
    </row>
    <row r="3413" customFormat="false" ht="15" hidden="false" customHeight="false" outlineLevel="0" collapsed="false">
      <c r="A3413" s="148" t="n">
        <v>44263</v>
      </c>
      <c r="B3413" s="37" t="n">
        <v>199.932403564453</v>
      </c>
    </row>
    <row r="3414" customFormat="false" ht="15" hidden="false" customHeight="false" outlineLevel="0" collapsed="false">
      <c r="A3414" s="148" t="n">
        <v>44264</v>
      </c>
      <c r="B3414" s="37" t="n">
        <v>201.931732177734</v>
      </c>
    </row>
    <row r="3415" customFormat="false" ht="15" hidden="false" customHeight="false" outlineLevel="0" collapsed="false">
      <c r="A3415" s="148" t="n">
        <v>44265</v>
      </c>
      <c r="B3415" s="37" t="n">
        <v>199.932403564453</v>
      </c>
    </row>
    <row r="3416" customFormat="false" ht="15" hidden="false" customHeight="false" outlineLevel="0" collapsed="false">
      <c r="A3416" s="148" t="n">
        <v>44266</v>
      </c>
      <c r="B3416" s="37" t="n">
        <v>199.932403564453</v>
      </c>
    </row>
    <row r="3417" customFormat="false" ht="15" hidden="false" customHeight="false" outlineLevel="0" collapsed="false">
      <c r="A3417" s="148" t="n">
        <v>44267</v>
      </c>
      <c r="B3417" s="37" t="n">
        <v>199.932403564453</v>
      </c>
    </row>
    <row r="3418" customFormat="false" ht="15" hidden="false" customHeight="false" outlineLevel="0" collapsed="false">
      <c r="A3418" s="148" t="n">
        <v>44270</v>
      </c>
      <c r="B3418" s="37" t="n">
        <v>199.932403564453</v>
      </c>
    </row>
    <row r="3419" customFormat="false" ht="15" hidden="false" customHeight="false" outlineLevel="0" collapsed="false">
      <c r="A3419" s="148" t="n">
        <v>44271</v>
      </c>
      <c r="B3419" s="37" t="n">
        <v>204.930725097656</v>
      </c>
    </row>
    <row r="3420" customFormat="false" ht="15" hidden="false" customHeight="false" outlineLevel="0" collapsed="false">
      <c r="A3420" s="148" t="n">
        <v>44272</v>
      </c>
      <c r="B3420" s="37" t="n">
        <v>199.932403564453</v>
      </c>
    </row>
    <row r="3421" customFormat="false" ht="15" hidden="false" customHeight="false" outlineLevel="0" collapsed="false">
      <c r="A3421" s="148" t="n">
        <v>44273</v>
      </c>
      <c r="B3421" s="37" t="n">
        <v>199.932403564453</v>
      </c>
    </row>
    <row r="3422" customFormat="false" ht="15" hidden="false" customHeight="false" outlineLevel="0" collapsed="false">
      <c r="A3422" s="148" t="n">
        <v>44274</v>
      </c>
      <c r="B3422" s="37" t="n">
        <v>204.930725097656</v>
      </c>
    </row>
    <row r="3423" customFormat="false" ht="15" hidden="false" customHeight="false" outlineLevel="0" collapsed="false">
      <c r="A3423" s="148" t="n">
        <v>44278</v>
      </c>
      <c r="B3423" s="37" t="n">
        <v>199.932403564453</v>
      </c>
    </row>
    <row r="3424" customFormat="false" ht="15" hidden="false" customHeight="false" outlineLevel="0" collapsed="false">
      <c r="A3424" s="148" t="n">
        <v>44279</v>
      </c>
      <c r="B3424" s="37" t="n">
        <v>199.932403564453</v>
      </c>
    </row>
    <row r="3425" customFormat="false" ht="15" hidden="false" customHeight="false" outlineLevel="0" collapsed="false">
      <c r="A3425" s="148" t="n">
        <v>44280</v>
      </c>
      <c r="B3425" s="37" t="n">
        <v>199.932403564453</v>
      </c>
    </row>
    <row r="3426" customFormat="false" ht="15" hidden="false" customHeight="false" outlineLevel="0" collapsed="false">
      <c r="A3426" s="148" t="n">
        <v>44281</v>
      </c>
      <c r="B3426" s="37" t="n">
        <v>199.932403564453</v>
      </c>
    </row>
    <row r="3427" customFormat="false" ht="15" hidden="false" customHeight="false" outlineLevel="0" collapsed="false">
      <c r="A3427" s="148" t="n">
        <v>44284</v>
      </c>
      <c r="B3427" s="37" t="n">
        <v>199.932403564453</v>
      </c>
    </row>
    <row r="3428" customFormat="false" ht="15" hidden="false" customHeight="false" outlineLevel="0" collapsed="false">
      <c r="A3428" s="148" t="n">
        <v>44285</v>
      </c>
      <c r="B3428" s="37" t="n">
        <v>197.933090209961</v>
      </c>
    </row>
    <row r="3429" customFormat="false" ht="15" hidden="false" customHeight="false" outlineLevel="0" collapsed="false">
      <c r="A3429" s="148" t="n">
        <v>44286</v>
      </c>
      <c r="B3429" s="37" t="n">
        <v>197.933090209961</v>
      </c>
    </row>
    <row r="3430" customFormat="false" ht="15" hidden="false" customHeight="false" outlineLevel="0" collapsed="false">
      <c r="A3430" s="148" t="n">
        <v>44287</v>
      </c>
      <c r="B3430" s="37" t="n">
        <v>201.931732177734</v>
      </c>
    </row>
    <row r="3431" customFormat="false" ht="15" hidden="false" customHeight="false" outlineLevel="0" collapsed="false">
      <c r="A3431" s="148" t="n">
        <v>44292</v>
      </c>
      <c r="B3431" s="37" t="n">
        <v>199.932403564453</v>
      </c>
    </row>
    <row r="3432" customFormat="false" ht="15" hidden="false" customHeight="false" outlineLevel="0" collapsed="false">
      <c r="A3432" s="148" t="n">
        <v>44293</v>
      </c>
      <c r="B3432" s="37" t="n">
        <v>181.938491821289</v>
      </c>
    </row>
    <row r="3433" customFormat="false" ht="15" hidden="false" customHeight="false" outlineLevel="0" collapsed="false">
      <c r="A3433" s="148" t="n">
        <v>44294</v>
      </c>
      <c r="B3433" s="37" t="n">
        <v>199.932403564453</v>
      </c>
    </row>
    <row r="3434" customFormat="false" ht="15" hidden="false" customHeight="false" outlineLevel="0" collapsed="false">
      <c r="A3434" s="148" t="n">
        <v>44295</v>
      </c>
      <c r="B3434" s="37" t="n">
        <v>185.937149047852</v>
      </c>
    </row>
    <row r="3435" customFormat="false" ht="15" hidden="false" customHeight="false" outlineLevel="0" collapsed="false">
      <c r="A3435" s="148" t="n">
        <v>44298</v>
      </c>
      <c r="B3435" s="37" t="n">
        <v>199.932403564453</v>
      </c>
    </row>
    <row r="3436" customFormat="false" ht="15" hidden="false" customHeight="false" outlineLevel="0" collapsed="false">
      <c r="A3436" s="148" t="n">
        <v>44299</v>
      </c>
      <c r="B3436" s="37" t="n">
        <v>207.929718017578</v>
      </c>
    </row>
    <row r="3437" customFormat="false" ht="15" hidden="false" customHeight="false" outlineLevel="0" collapsed="false">
      <c r="A3437" s="148" t="n">
        <v>44300</v>
      </c>
      <c r="B3437" s="37" t="n">
        <v>207.929718017578</v>
      </c>
    </row>
    <row r="3438" customFormat="false" ht="15" hidden="false" customHeight="false" outlineLevel="0" collapsed="false">
      <c r="A3438" s="148" t="n">
        <v>44301</v>
      </c>
      <c r="B3438" s="37" t="n">
        <v>209.92903137207</v>
      </c>
    </row>
    <row r="3439" customFormat="false" ht="15" hidden="false" customHeight="false" outlineLevel="0" collapsed="false">
      <c r="A3439" s="148" t="n">
        <v>44302</v>
      </c>
      <c r="B3439" s="37" t="n">
        <v>209.92903137207</v>
      </c>
    </row>
    <row r="3440" customFormat="false" ht="15" hidden="false" customHeight="false" outlineLevel="0" collapsed="false">
      <c r="A3440" s="148" t="n">
        <v>44305</v>
      </c>
      <c r="B3440" s="37" t="n">
        <v>199.932403564453</v>
      </c>
    </row>
    <row r="3441" customFormat="false" ht="15" hidden="false" customHeight="false" outlineLevel="0" collapsed="false">
      <c r="A3441" s="148" t="n">
        <v>44306</v>
      </c>
      <c r="B3441" s="37" t="n">
        <v>209.92903137207</v>
      </c>
    </row>
    <row r="3442" customFormat="false" ht="15" hidden="false" customHeight="false" outlineLevel="0" collapsed="false">
      <c r="A3442" s="148" t="n">
        <v>44307</v>
      </c>
      <c r="B3442" s="37" t="n">
        <v>204.930725097656</v>
      </c>
    </row>
    <row r="3443" customFormat="false" ht="15" hidden="false" customHeight="false" outlineLevel="0" collapsed="false">
      <c r="A3443" s="148" t="n">
        <v>44308</v>
      </c>
      <c r="B3443" s="37" t="n">
        <v>204.930725097656</v>
      </c>
    </row>
    <row r="3444" customFormat="false" ht="15" hidden="false" customHeight="false" outlineLevel="0" collapsed="false">
      <c r="A3444" s="148" t="n">
        <v>44309</v>
      </c>
      <c r="B3444" s="37" t="n">
        <v>199.932403564453</v>
      </c>
    </row>
    <row r="3445" customFormat="false" ht="15" hidden="false" customHeight="false" outlineLevel="0" collapsed="false">
      <c r="A3445" s="148" t="n">
        <v>44312</v>
      </c>
      <c r="B3445" s="37" t="n">
        <v>189.935791015625</v>
      </c>
    </row>
    <row r="3446" customFormat="false" ht="15" hidden="false" customHeight="false" outlineLevel="0" collapsed="false">
      <c r="A3446" s="148" t="n">
        <v>44314</v>
      </c>
      <c r="B3446" s="37" t="n">
        <v>199.932403564453</v>
      </c>
    </row>
    <row r="3447" customFormat="false" ht="15" hidden="false" customHeight="false" outlineLevel="0" collapsed="false">
      <c r="A3447" s="148" t="n">
        <v>44315</v>
      </c>
      <c r="B3447" s="37" t="n">
        <v>199.932403564453</v>
      </c>
    </row>
    <row r="3448" customFormat="false" ht="15" hidden="false" customHeight="false" outlineLevel="0" collapsed="false">
      <c r="A3448" s="148" t="n">
        <v>44316</v>
      </c>
      <c r="B3448" s="37" t="n">
        <v>199.932403564453</v>
      </c>
    </row>
    <row r="3449" customFormat="false" ht="15" hidden="false" customHeight="false" outlineLevel="0" collapsed="false">
      <c r="A3449" s="148" t="n">
        <v>44319</v>
      </c>
      <c r="B3449" s="37" t="n">
        <v>199.932403564453</v>
      </c>
    </row>
    <row r="3450" customFormat="false" ht="15" hidden="false" customHeight="false" outlineLevel="0" collapsed="false">
      <c r="A3450" s="148" t="n">
        <v>44320</v>
      </c>
      <c r="B3450" s="37" t="n">
        <v>204.930725097656</v>
      </c>
    </row>
    <row r="3451" customFormat="false" ht="15" hidden="false" customHeight="false" outlineLevel="0" collapsed="false">
      <c r="A3451" s="148" t="n">
        <v>44321</v>
      </c>
      <c r="B3451" s="37" t="n">
        <v>203.931060791016</v>
      </c>
    </row>
    <row r="3452" customFormat="false" ht="15" hidden="false" customHeight="false" outlineLevel="0" collapsed="false">
      <c r="A3452" s="148" t="n">
        <v>44322</v>
      </c>
      <c r="B3452" s="37" t="n">
        <v>194.934097290039</v>
      </c>
    </row>
    <row r="3453" customFormat="false" ht="15" hidden="false" customHeight="false" outlineLevel="0" collapsed="false">
      <c r="A3453" s="148" t="n">
        <v>44323</v>
      </c>
      <c r="B3453" s="37" t="n">
        <v>191.935119628906</v>
      </c>
    </row>
    <row r="3454" customFormat="false" ht="15" hidden="false" customHeight="false" outlineLevel="0" collapsed="false">
      <c r="A3454" s="148" t="n">
        <v>44326</v>
      </c>
      <c r="B3454" s="37" t="n">
        <v>200.932067871094</v>
      </c>
    </row>
    <row r="3455" customFormat="false" ht="15" hidden="false" customHeight="false" outlineLevel="0" collapsed="false">
      <c r="A3455" s="148" t="n">
        <v>44327</v>
      </c>
      <c r="B3455" s="37" t="n">
        <v>200.932067871094</v>
      </c>
    </row>
    <row r="3456" customFormat="false" ht="15" hidden="false" customHeight="false" outlineLevel="0" collapsed="false">
      <c r="A3456" s="148" t="n">
        <v>44328</v>
      </c>
      <c r="B3456" s="37" t="n">
        <v>209.92903137207</v>
      </c>
    </row>
    <row r="3457" customFormat="false" ht="15" hidden="false" customHeight="false" outlineLevel="0" collapsed="false">
      <c r="A3457" s="148" t="n">
        <v>44329</v>
      </c>
      <c r="B3457" s="37" t="n">
        <v>204.930725097656</v>
      </c>
    </row>
    <row r="3458" customFormat="false" ht="15" hidden="false" customHeight="false" outlineLevel="0" collapsed="false">
      <c r="A3458" s="148" t="n">
        <v>44330</v>
      </c>
      <c r="B3458" s="37" t="n">
        <v>203.931060791016</v>
      </c>
    </row>
    <row r="3459" customFormat="false" ht="15" hidden="false" customHeight="false" outlineLevel="0" collapsed="false">
      <c r="A3459" s="148" t="n">
        <v>44333</v>
      </c>
      <c r="B3459" s="37" t="n">
        <v>199.932403564453</v>
      </c>
    </row>
    <row r="3460" customFormat="false" ht="15" hidden="false" customHeight="false" outlineLevel="0" collapsed="false">
      <c r="A3460" s="148" t="n">
        <v>44334</v>
      </c>
      <c r="B3460" s="37" t="n">
        <v>209.92903137207</v>
      </c>
    </row>
    <row r="3461" customFormat="false" ht="15" hidden="false" customHeight="false" outlineLevel="0" collapsed="false">
      <c r="A3461" s="148" t="n">
        <v>44335</v>
      </c>
      <c r="B3461" s="37" t="n">
        <v>219.925659179688</v>
      </c>
    </row>
    <row r="3462" customFormat="false" ht="15" hidden="false" customHeight="false" outlineLevel="0" collapsed="false">
      <c r="A3462" s="148" t="n">
        <v>44336</v>
      </c>
      <c r="B3462" s="37" t="n">
        <v>234.920593261719</v>
      </c>
    </row>
    <row r="3463" customFormat="false" ht="15" hidden="false" customHeight="false" outlineLevel="0" collapsed="false">
      <c r="A3463" s="148" t="n">
        <v>44337</v>
      </c>
      <c r="B3463" s="37" t="n">
        <v>289.902008056641</v>
      </c>
    </row>
    <row r="3464" customFormat="false" ht="15" hidden="false" customHeight="false" outlineLevel="0" collapsed="false">
      <c r="A3464" s="148" t="n">
        <v>44340</v>
      </c>
      <c r="B3464" s="37" t="n">
        <v>266.909759521484</v>
      </c>
    </row>
    <row r="3465" customFormat="false" ht="15" hidden="false" customHeight="false" outlineLevel="0" collapsed="false">
      <c r="A3465" s="148" t="n">
        <v>44341</v>
      </c>
      <c r="B3465" s="37" t="n">
        <v>266.909759521484</v>
      </c>
    </row>
    <row r="3466" customFormat="false" ht="15" hidden="false" customHeight="false" outlineLevel="0" collapsed="false">
      <c r="A3466" s="148" t="n">
        <v>44342</v>
      </c>
      <c r="B3466" s="37" t="n">
        <v>266.909759521484</v>
      </c>
    </row>
    <row r="3467" customFormat="false" ht="15" hidden="false" customHeight="false" outlineLevel="0" collapsed="false">
      <c r="A3467" s="148" t="n">
        <v>44343</v>
      </c>
      <c r="B3467" s="37" t="n">
        <v>262.9111328125</v>
      </c>
    </row>
    <row r="3468" customFormat="false" ht="15" hidden="false" customHeight="false" outlineLevel="0" collapsed="false">
      <c r="A3468" s="148" t="n">
        <v>44344</v>
      </c>
      <c r="B3468" s="37" t="n">
        <v>263.910797119141</v>
      </c>
    </row>
    <row r="3469" customFormat="false" ht="15" hidden="false" customHeight="false" outlineLevel="0" collapsed="false">
      <c r="A3469" s="148" t="n">
        <v>44347</v>
      </c>
      <c r="B3469" s="37" t="n">
        <v>264.910461425781</v>
      </c>
    </row>
    <row r="3470" customFormat="false" ht="15" hidden="false" customHeight="false" outlineLevel="0" collapsed="false">
      <c r="A3470" s="148" t="n">
        <v>44348</v>
      </c>
      <c r="B3470" s="37" t="n">
        <v>273.907409667969</v>
      </c>
    </row>
    <row r="3471" customFormat="false" ht="15" hidden="false" customHeight="false" outlineLevel="0" collapsed="false">
      <c r="A3471" s="148" t="n">
        <v>44349</v>
      </c>
      <c r="B3471" s="37" t="n">
        <v>279.905364990234</v>
      </c>
    </row>
    <row r="3472" customFormat="false" ht="15" hidden="false" customHeight="false" outlineLevel="0" collapsed="false">
      <c r="A3472" s="148" t="n">
        <v>44350</v>
      </c>
      <c r="B3472" s="37" t="n">
        <v>282.904388427734</v>
      </c>
    </row>
    <row r="3473" customFormat="false" ht="15" hidden="false" customHeight="false" outlineLevel="0" collapsed="false">
      <c r="A3473" s="148" t="n">
        <v>44351</v>
      </c>
      <c r="B3473" s="37" t="n">
        <v>299.898620605469</v>
      </c>
    </row>
    <row r="3474" customFormat="false" ht="15" hidden="false" customHeight="false" outlineLevel="0" collapsed="false">
      <c r="A3474" s="148" t="n">
        <v>44354</v>
      </c>
      <c r="B3474" s="37" t="n">
        <v>299.898620605469</v>
      </c>
    </row>
    <row r="3475" customFormat="false" ht="15" hidden="false" customHeight="false" outlineLevel="0" collapsed="false">
      <c r="A3475" s="148" t="n">
        <v>44355</v>
      </c>
      <c r="B3475" s="37" t="n">
        <v>297.899291992188</v>
      </c>
    </row>
    <row r="3476" customFormat="false" ht="15" hidden="false" customHeight="false" outlineLevel="0" collapsed="false">
      <c r="A3476" s="148" t="n">
        <v>44356</v>
      </c>
      <c r="B3476" s="37" t="n">
        <v>299.898620605469</v>
      </c>
    </row>
    <row r="3477" customFormat="false" ht="15" hidden="false" customHeight="false" outlineLevel="0" collapsed="false">
      <c r="A3477" s="148" t="n">
        <v>44357</v>
      </c>
      <c r="B3477" s="37" t="n">
        <v>299.898620605469</v>
      </c>
    </row>
    <row r="3478" customFormat="false" ht="15" hidden="false" customHeight="false" outlineLevel="0" collapsed="false">
      <c r="A3478" s="148" t="n">
        <v>44358</v>
      </c>
      <c r="B3478" s="37" t="n">
        <v>297.899291992188</v>
      </c>
    </row>
    <row r="3479" customFormat="false" ht="15" hidden="false" customHeight="false" outlineLevel="0" collapsed="false">
      <c r="A3479" s="148" t="n">
        <v>44361</v>
      </c>
      <c r="B3479" s="37" t="n">
        <v>299.898620605469</v>
      </c>
    </row>
    <row r="3480" customFormat="false" ht="15" hidden="false" customHeight="false" outlineLevel="0" collapsed="false">
      <c r="A3480" s="148" t="n">
        <v>44362</v>
      </c>
      <c r="B3480" s="37" t="n">
        <v>299.898620605469</v>
      </c>
    </row>
    <row r="3481" customFormat="false" ht="15" hidden="false" customHeight="false" outlineLevel="0" collapsed="false">
      <c r="A3481" s="148" t="n">
        <v>44364</v>
      </c>
      <c r="B3481" s="37" t="n">
        <v>299.898620605469</v>
      </c>
    </row>
    <row r="3482" customFormat="false" ht="15" hidden="false" customHeight="false" outlineLevel="0" collapsed="false">
      <c r="A3482" s="148" t="n">
        <v>44365</v>
      </c>
      <c r="B3482" s="37" t="n">
        <v>299.898620605469</v>
      </c>
    </row>
    <row r="3483" customFormat="false" ht="15" hidden="false" customHeight="false" outlineLevel="0" collapsed="false">
      <c r="A3483" s="148" t="n">
        <v>44368</v>
      </c>
      <c r="B3483" s="37" t="n">
        <v>289.902008056641</v>
      </c>
    </row>
    <row r="3484" customFormat="false" ht="15" hidden="false" customHeight="false" outlineLevel="0" collapsed="false">
      <c r="A3484" s="148" t="n">
        <v>44369</v>
      </c>
      <c r="B3484" s="37" t="n">
        <v>288.902313232422</v>
      </c>
    </row>
    <row r="3485" customFormat="false" ht="15" hidden="false" customHeight="false" outlineLevel="0" collapsed="false">
      <c r="A3485" s="148" t="n">
        <v>44370</v>
      </c>
      <c r="B3485" s="37" t="n">
        <v>288.902313232422</v>
      </c>
    </row>
    <row r="3486" customFormat="false" ht="15" hidden="false" customHeight="false" outlineLevel="0" collapsed="false">
      <c r="A3486" s="148" t="n">
        <v>44371</v>
      </c>
      <c r="B3486" s="37" t="n">
        <v>284.903717041016</v>
      </c>
    </row>
    <row r="3487" customFormat="false" ht="15" hidden="false" customHeight="false" outlineLevel="0" collapsed="false">
      <c r="A3487" s="148" t="n">
        <v>44372</v>
      </c>
      <c r="B3487" s="37" t="n">
        <v>246.916534423828</v>
      </c>
    </row>
    <row r="3488" customFormat="false" ht="15" hidden="false" customHeight="false" outlineLevel="0" collapsed="false">
      <c r="A3488" s="148" t="n">
        <v>44375</v>
      </c>
      <c r="B3488" s="37" t="n">
        <v>261.911468505859</v>
      </c>
    </row>
    <row r="3489" customFormat="false" ht="15" hidden="false" customHeight="false" outlineLevel="0" collapsed="false">
      <c r="A3489" s="148" t="n">
        <v>44376</v>
      </c>
      <c r="B3489" s="37" t="n">
        <v>283.904022216797</v>
      </c>
    </row>
    <row r="3490" customFormat="false" ht="15" hidden="false" customHeight="false" outlineLevel="0" collapsed="false">
      <c r="A3490" s="148" t="n">
        <v>44377</v>
      </c>
      <c r="B3490" s="37" t="n">
        <v>282.904388427734</v>
      </c>
    </row>
    <row r="3491" customFormat="false" ht="15" hidden="false" customHeight="false" outlineLevel="0" collapsed="false">
      <c r="A3491" s="148" t="n">
        <v>44378</v>
      </c>
      <c r="B3491" s="37" t="n">
        <v>281.904693603516</v>
      </c>
    </row>
    <row r="3492" customFormat="false" ht="15" hidden="false" customHeight="false" outlineLevel="0" collapsed="false">
      <c r="A3492" s="148" t="n">
        <v>44379</v>
      </c>
      <c r="B3492" s="37" t="n">
        <v>283.904022216797</v>
      </c>
    </row>
    <row r="3493" customFormat="false" ht="15" hidden="false" customHeight="false" outlineLevel="0" collapsed="false">
      <c r="A3493" s="148" t="n">
        <v>44382</v>
      </c>
      <c r="B3493" s="37" t="n">
        <v>274.907073974609</v>
      </c>
    </row>
    <row r="3494" customFormat="false" ht="15" hidden="false" customHeight="false" outlineLevel="0" collapsed="false">
      <c r="A3494" s="148" t="n">
        <v>44383</v>
      </c>
      <c r="B3494" s="37" t="n">
        <v>272.907745361328</v>
      </c>
    </row>
    <row r="3495" customFormat="false" ht="15" hidden="false" customHeight="false" outlineLevel="0" collapsed="false">
      <c r="A3495" s="148" t="n">
        <v>44384</v>
      </c>
      <c r="B3495" s="37" t="n">
        <v>272.907745361328</v>
      </c>
    </row>
    <row r="3496" customFormat="false" ht="15" hidden="false" customHeight="false" outlineLevel="0" collapsed="false">
      <c r="A3496" s="148" t="n">
        <v>44385</v>
      </c>
      <c r="B3496" s="37" t="n">
        <v>268.909088134766</v>
      </c>
    </row>
    <row r="3497" customFormat="false" ht="15" hidden="false" customHeight="false" outlineLevel="0" collapsed="false">
      <c r="A3497" s="148" t="n">
        <v>44386</v>
      </c>
      <c r="B3497" s="37" t="n">
        <v>268.909088134766</v>
      </c>
    </row>
    <row r="3498" customFormat="false" ht="15" hidden="false" customHeight="false" outlineLevel="0" collapsed="false">
      <c r="A3498" s="148" t="n">
        <v>44389</v>
      </c>
      <c r="B3498" s="37" t="n">
        <v>253.914169311523</v>
      </c>
    </row>
    <row r="3499" customFormat="false" ht="15" hidden="false" customHeight="false" outlineLevel="0" collapsed="false">
      <c r="A3499" s="148" t="n">
        <v>44390</v>
      </c>
      <c r="B3499" s="37" t="n">
        <v>258.912475585938</v>
      </c>
    </row>
    <row r="3500" customFormat="false" ht="15" hidden="false" customHeight="false" outlineLevel="0" collapsed="false">
      <c r="A3500" s="148" t="n">
        <v>44391</v>
      </c>
      <c r="B3500" s="37" t="n">
        <v>254.913833618164</v>
      </c>
    </row>
    <row r="3501" customFormat="false" ht="15" hidden="false" customHeight="false" outlineLevel="0" collapsed="false">
      <c r="A3501" s="148" t="n">
        <v>44392</v>
      </c>
      <c r="B3501" s="37" t="n">
        <v>259.912139892578</v>
      </c>
    </row>
    <row r="3502" customFormat="false" ht="15" hidden="false" customHeight="false" outlineLevel="0" collapsed="false">
      <c r="A3502" s="148" t="n">
        <v>44393</v>
      </c>
      <c r="B3502" s="37" t="n">
        <v>259.912139892578</v>
      </c>
    </row>
    <row r="3503" customFormat="false" ht="15" hidden="false" customHeight="false" outlineLevel="0" collapsed="false">
      <c r="A3503" s="148" t="n">
        <v>44396</v>
      </c>
      <c r="B3503" s="37" t="n">
        <v>259.912139892578</v>
      </c>
    </row>
    <row r="3504" customFormat="false" ht="15" hidden="false" customHeight="false" outlineLevel="0" collapsed="false">
      <c r="A3504" s="148" t="n">
        <v>44397</v>
      </c>
      <c r="B3504" s="37" t="n">
        <v>267.909423828125</v>
      </c>
    </row>
    <row r="3505" customFormat="false" ht="15" hidden="false" customHeight="false" outlineLevel="0" collapsed="false">
      <c r="A3505" s="148" t="n">
        <v>44398</v>
      </c>
      <c r="B3505" s="37" t="n">
        <v>259.912139892578</v>
      </c>
    </row>
    <row r="3506" customFormat="false" ht="15" hidden="false" customHeight="false" outlineLevel="0" collapsed="false">
      <c r="A3506" s="148" t="n">
        <v>44399</v>
      </c>
      <c r="B3506" s="37" t="n">
        <v>259.912139892578</v>
      </c>
    </row>
    <row r="3507" customFormat="false" ht="15" hidden="false" customHeight="false" outlineLevel="0" collapsed="false">
      <c r="A3507" s="148" t="n">
        <v>44400</v>
      </c>
      <c r="B3507" s="37" t="n">
        <v>284.903717041016</v>
      </c>
    </row>
    <row r="3508" customFormat="false" ht="15" hidden="false" customHeight="false" outlineLevel="0" collapsed="false">
      <c r="A3508" s="148" t="n">
        <v>44403</v>
      </c>
      <c r="B3508" s="37" t="n">
        <v>284.903717041016</v>
      </c>
    </row>
    <row r="3509" customFormat="false" ht="15" hidden="false" customHeight="false" outlineLevel="0" collapsed="false">
      <c r="A3509" s="148" t="n">
        <v>44404</v>
      </c>
      <c r="B3509" s="37" t="n">
        <v>282.904388427734</v>
      </c>
    </row>
    <row r="3510" customFormat="false" ht="15" hidden="false" customHeight="false" outlineLevel="0" collapsed="false">
      <c r="A3510" s="148" t="n">
        <v>44405</v>
      </c>
      <c r="B3510" s="37" t="n">
        <v>284.903717041016</v>
      </c>
    </row>
    <row r="3511" customFormat="false" ht="15" hidden="false" customHeight="false" outlineLevel="0" collapsed="false">
      <c r="A3511" s="148" t="n">
        <v>44406</v>
      </c>
      <c r="B3511" s="37" t="n">
        <v>257.912811279297</v>
      </c>
    </row>
    <row r="3512" customFormat="false" ht="15" hidden="false" customHeight="false" outlineLevel="0" collapsed="false">
      <c r="A3512" s="148" t="n">
        <v>44407</v>
      </c>
      <c r="B3512" s="37" t="n">
        <v>253.914169311523</v>
      </c>
    </row>
    <row r="3513" customFormat="false" ht="15" hidden="false" customHeight="false" outlineLevel="0" collapsed="false">
      <c r="A3513" s="148" t="n">
        <v>44410</v>
      </c>
      <c r="B3513" s="37" t="n">
        <v>244.917205810547</v>
      </c>
    </row>
    <row r="3514" customFormat="false" ht="15" hidden="false" customHeight="false" outlineLevel="0" collapsed="false">
      <c r="A3514" s="148" t="n">
        <v>44411</v>
      </c>
      <c r="B3514" s="37" t="n">
        <v>279.905364990234</v>
      </c>
    </row>
    <row r="3515" customFormat="false" ht="15" hidden="false" customHeight="false" outlineLevel="0" collapsed="false">
      <c r="A3515" s="148" t="n">
        <v>44412</v>
      </c>
      <c r="B3515" s="37" t="n">
        <v>278.905731201172</v>
      </c>
    </row>
    <row r="3516" customFormat="false" ht="15" hidden="false" customHeight="false" outlineLevel="0" collapsed="false">
      <c r="A3516" s="148" t="n">
        <v>44413</v>
      </c>
      <c r="B3516" s="37" t="n">
        <v>278.905731201172</v>
      </c>
    </row>
    <row r="3517" customFormat="false" ht="15" hidden="false" customHeight="false" outlineLevel="0" collapsed="false">
      <c r="A3517" s="148" t="n">
        <v>44414</v>
      </c>
      <c r="B3517" s="37" t="n">
        <v>274.907073974609</v>
      </c>
    </row>
    <row r="3518" customFormat="false" ht="15" hidden="false" customHeight="false" outlineLevel="0" collapsed="false">
      <c r="A3518" s="148" t="n">
        <v>44418</v>
      </c>
      <c r="B3518" s="37" t="n">
        <v>274.907073974609</v>
      </c>
    </row>
    <row r="3519" customFormat="false" ht="15" hidden="false" customHeight="false" outlineLevel="0" collapsed="false">
      <c r="A3519" s="148" t="n">
        <v>44419</v>
      </c>
      <c r="B3519" s="37" t="n">
        <v>276.906402587891</v>
      </c>
    </row>
    <row r="3520" customFormat="false" ht="15" hidden="false" customHeight="false" outlineLevel="0" collapsed="false">
      <c r="A3520" s="148" t="n">
        <v>44420</v>
      </c>
      <c r="B3520" s="37" t="n">
        <v>276.906402587891</v>
      </c>
    </row>
    <row r="3521" customFormat="false" ht="15" hidden="false" customHeight="false" outlineLevel="0" collapsed="false">
      <c r="A3521" s="148" t="n">
        <v>44421</v>
      </c>
      <c r="B3521" s="37" t="n">
        <v>276.906402587891</v>
      </c>
    </row>
    <row r="3522" customFormat="false" ht="15" hidden="false" customHeight="false" outlineLevel="0" collapsed="false">
      <c r="A3522" s="148" t="n">
        <v>44424</v>
      </c>
      <c r="B3522" s="37" t="n">
        <v>261.911468505859</v>
      </c>
    </row>
    <row r="3523" customFormat="false" ht="15" hidden="false" customHeight="false" outlineLevel="0" collapsed="false">
      <c r="A3523" s="148" t="n">
        <v>44425</v>
      </c>
      <c r="B3523" s="37" t="n">
        <v>260.911804199219</v>
      </c>
    </row>
    <row r="3524" customFormat="false" ht="15" hidden="false" customHeight="false" outlineLevel="0" collapsed="false">
      <c r="A3524" s="148" t="n">
        <v>44426</v>
      </c>
      <c r="B3524" s="37" t="n">
        <v>256.913146972656</v>
      </c>
    </row>
    <row r="3525" customFormat="false" ht="15" hidden="false" customHeight="false" outlineLevel="0" collapsed="false">
      <c r="A3525" s="148" t="n">
        <v>44427</v>
      </c>
      <c r="B3525" s="37" t="n">
        <v>257.912811279297</v>
      </c>
    </row>
    <row r="3526" customFormat="false" ht="15" hidden="false" customHeight="false" outlineLevel="0" collapsed="false">
      <c r="A3526" s="148" t="n">
        <v>44428</v>
      </c>
      <c r="B3526" s="37" t="n">
        <v>257.912811279297</v>
      </c>
    </row>
    <row r="3527" customFormat="false" ht="15" hidden="false" customHeight="false" outlineLevel="0" collapsed="false">
      <c r="A3527" s="148" t="n">
        <v>44431</v>
      </c>
      <c r="B3527" s="37" t="n">
        <v>257.912811279297</v>
      </c>
    </row>
    <row r="3528" customFormat="false" ht="15" hidden="false" customHeight="false" outlineLevel="0" collapsed="false">
      <c r="A3528" s="148" t="n">
        <v>44432</v>
      </c>
      <c r="B3528" s="37" t="n">
        <v>271.908081054688</v>
      </c>
    </row>
    <row r="3529" customFormat="false" ht="15" hidden="false" customHeight="false" outlineLevel="0" collapsed="false">
      <c r="A3529" s="148" t="n">
        <v>44433</v>
      </c>
      <c r="B3529" s="37" t="n">
        <v>270.908416748047</v>
      </c>
    </row>
    <row r="3530" customFormat="false" ht="15" hidden="false" customHeight="false" outlineLevel="0" collapsed="false">
      <c r="A3530" s="148" t="n">
        <v>44434</v>
      </c>
      <c r="B3530" s="37" t="n">
        <v>275.90673828125</v>
      </c>
    </row>
    <row r="3531" customFormat="false" ht="15" hidden="false" customHeight="false" outlineLevel="0" collapsed="false">
      <c r="A3531" s="148" t="n">
        <v>44435</v>
      </c>
      <c r="B3531" s="37" t="n">
        <v>276.906402587891</v>
      </c>
    </row>
    <row r="3532" customFormat="false" ht="15" hidden="false" customHeight="false" outlineLevel="0" collapsed="false">
      <c r="A3532" s="148" t="n">
        <v>44438</v>
      </c>
      <c r="B3532" s="37" t="n">
        <v>276.906402587891</v>
      </c>
    </row>
    <row r="3533" customFormat="false" ht="15" hidden="false" customHeight="false" outlineLevel="0" collapsed="false">
      <c r="A3533" s="148" t="n">
        <v>44439</v>
      </c>
      <c r="B3533" s="37" t="n">
        <v>276.906402587891</v>
      </c>
    </row>
    <row r="3534" customFormat="false" ht="15" hidden="false" customHeight="false" outlineLevel="0" collapsed="false">
      <c r="A3534" s="148" t="n">
        <v>44440</v>
      </c>
      <c r="B3534" s="37" t="n">
        <v>276.906402587891</v>
      </c>
    </row>
    <row r="3535" customFormat="false" ht="15" hidden="false" customHeight="false" outlineLevel="0" collapsed="false">
      <c r="A3535" s="148" t="n">
        <v>44441</v>
      </c>
      <c r="B3535" s="37" t="n">
        <v>276.906402587891</v>
      </c>
    </row>
    <row r="3536" customFormat="false" ht="15" hidden="false" customHeight="false" outlineLevel="0" collapsed="false">
      <c r="A3536" s="148" t="n">
        <v>44442</v>
      </c>
      <c r="B3536" s="37" t="n">
        <v>276.906402587891</v>
      </c>
    </row>
    <row r="3537" customFormat="false" ht="15" hidden="false" customHeight="false" outlineLevel="0" collapsed="false">
      <c r="A3537" s="148" t="n">
        <v>44445</v>
      </c>
      <c r="B3537" s="37" t="n">
        <v>276.906402587891</v>
      </c>
    </row>
    <row r="3538" customFormat="false" ht="15" hidden="false" customHeight="false" outlineLevel="0" collapsed="false">
      <c r="A3538" s="148" t="n">
        <v>44446</v>
      </c>
      <c r="B3538" s="37" t="n">
        <v>276.906402587891</v>
      </c>
    </row>
    <row r="3539" customFormat="false" ht="15" hidden="false" customHeight="false" outlineLevel="0" collapsed="false">
      <c r="A3539" s="148" t="n">
        <v>44447</v>
      </c>
      <c r="B3539" s="37" t="n">
        <v>276.906402587891</v>
      </c>
    </row>
    <row r="3540" customFormat="false" ht="15" hidden="false" customHeight="false" outlineLevel="0" collapsed="false">
      <c r="A3540" s="148" t="n">
        <v>44448</v>
      </c>
      <c r="B3540" s="37" t="n">
        <v>289.902008056641</v>
      </c>
    </row>
    <row r="3541" customFormat="false" ht="15" hidden="false" customHeight="false" outlineLevel="0" collapsed="false">
      <c r="A3541" s="148" t="n">
        <v>44449</v>
      </c>
      <c r="B3541" s="37" t="n">
        <v>294.900299072266</v>
      </c>
    </row>
    <row r="3542" customFormat="false" ht="15" hidden="false" customHeight="false" outlineLevel="0" collapsed="false">
      <c r="A3542" s="148" t="n">
        <v>44452</v>
      </c>
      <c r="B3542" s="37" t="n">
        <v>294.900299072266</v>
      </c>
    </row>
    <row r="3543" customFormat="false" ht="15" hidden="false" customHeight="false" outlineLevel="0" collapsed="false">
      <c r="A3543" s="148" t="n">
        <v>44453</v>
      </c>
      <c r="B3543" s="37" t="n">
        <v>284.903717041016</v>
      </c>
    </row>
    <row r="3544" customFormat="false" ht="15" hidden="false" customHeight="false" outlineLevel="0" collapsed="false">
      <c r="A3544" s="148" t="n">
        <v>44454</v>
      </c>
      <c r="B3544" s="37" t="n">
        <v>290.901641845703</v>
      </c>
    </row>
    <row r="3545" customFormat="false" ht="15" hidden="false" customHeight="false" outlineLevel="0" collapsed="false">
      <c r="A3545" s="148" t="n">
        <v>44455</v>
      </c>
      <c r="B3545" s="37" t="n">
        <v>299.898620605469</v>
      </c>
    </row>
    <row r="3546" customFormat="false" ht="15" hidden="false" customHeight="false" outlineLevel="0" collapsed="false">
      <c r="A3546" s="148" t="n">
        <v>44456</v>
      </c>
      <c r="B3546" s="37" t="n">
        <v>299.898620605469</v>
      </c>
    </row>
    <row r="3547" customFormat="false" ht="15" hidden="false" customHeight="false" outlineLevel="0" collapsed="false">
      <c r="A3547" s="148" t="n">
        <v>44459</v>
      </c>
      <c r="B3547" s="37" t="n">
        <v>253.914169311523</v>
      </c>
    </row>
    <row r="3548" customFormat="false" ht="15" hidden="false" customHeight="false" outlineLevel="0" collapsed="false">
      <c r="A3548" s="148" t="n">
        <v>44460</v>
      </c>
      <c r="B3548" s="37" t="n">
        <v>298.898956298828</v>
      </c>
    </row>
    <row r="3549" customFormat="false" ht="15" hidden="false" customHeight="false" outlineLevel="0" collapsed="false">
      <c r="A3549" s="148" t="n">
        <v>44461</v>
      </c>
      <c r="B3549" s="37" t="n">
        <v>298.898956298828</v>
      </c>
    </row>
    <row r="3550" customFormat="false" ht="15" hidden="false" customHeight="false" outlineLevel="0" collapsed="false">
      <c r="A3550" s="148" t="n">
        <v>44462</v>
      </c>
      <c r="B3550" s="37" t="n">
        <v>298.898956298828</v>
      </c>
    </row>
    <row r="3551" customFormat="false" ht="15" hidden="false" customHeight="false" outlineLevel="0" collapsed="false">
      <c r="A3551" s="148" t="n">
        <v>44466</v>
      </c>
      <c r="B3551" s="37" t="n">
        <v>285.903350830078</v>
      </c>
    </row>
    <row r="3552" customFormat="false" ht="15" hidden="false" customHeight="false" outlineLevel="0" collapsed="false">
      <c r="A3552" s="148" t="n">
        <v>44467</v>
      </c>
      <c r="B3552" s="37" t="n">
        <v>284.903717041016</v>
      </c>
    </row>
    <row r="3553" customFormat="false" ht="15" hidden="false" customHeight="false" outlineLevel="0" collapsed="false">
      <c r="A3553" s="148" t="n">
        <v>44468</v>
      </c>
      <c r="B3553" s="37" t="n">
        <v>264.910461425781</v>
      </c>
    </row>
    <row r="3554" customFormat="false" ht="15" hidden="false" customHeight="false" outlineLevel="0" collapsed="false">
      <c r="A3554" s="148" t="n">
        <v>44469</v>
      </c>
      <c r="B3554" s="37" t="n">
        <v>264.910461425781</v>
      </c>
    </row>
    <row r="3555" customFormat="false" ht="15" hidden="false" customHeight="false" outlineLevel="0" collapsed="false">
      <c r="A3555" s="148" t="n">
        <v>44470</v>
      </c>
      <c r="B3555" s="37" t="n">
        <v>288.902313232422</v>
      </c>
    </row>
    <row r="3556" customFormat="false" ht="15" hidden="false" customHeight="false" outlineLevel="0" collapsed="false">
      <c r="A3556" s="148" t="n">
        <v>44473</v>
      </c>
      <c r="B3556" s="37" t="n">
        <v>241.918212890625</v>
      </c>
    </row>
    <row r="3557" customFormat="false" ht="15" hidden="false" customHeight="false" outlineLevel="0" collapsed="false">
      <c r="A3557" s="148" t="n">
        <v>44474</v>
      </c>
      <c r="B3557" s="37" t="n">
        <v>251.914840698242</v>
      </c>
    </row>
    <row r="3558" customFormat="false" ht="15" hidden="false" customHeight="false" outlineLevel="0" collapsed="false">
      <c r="A3558" s="148" t="n">
        <v>44475</v>
      </c>
      <c r="B3558" s="37" t="n">
        <v>251.914840698242</v>
      </c>
    </row>
    <row r="3559" customFormat="false" ht="15" hidden="false" customHeight="false" outlineLevel="0" collapsed="false">
      <c r="A3559" s="148" t="n">
        <v>44476</v>
      </c>
      <c r="B3559" s="37" t="n">
        <v>358.878692626953</v>
      </c>
    </row>
    <row r="3560" customFormat="false" ht="15" hidden="false" customHeight="false" outlineLevel="0" collapsed="false">
      <c r="A3560" s="148" t="n">
        <v>44477</v>
      </c>
      <c r="B3560" s="37" t="n">
        <v>339.885101318359</v>
      </c>
    </row>
    <row r="3561" customFormat="false" ht="15" hidden="false" customHeight="false" outlineLevel="0" collapsed="false">
      <c r="A3561" s="148" t="n">
        <v>44480</v>
      </c>
      <c r="B3561" s="37" t="n">
        <v>358.878692626953</v>
      </c>
    </row>
    <row r="3562" customFormat="false" ht="15" hidden="false" customHeight="false" outlineLevel="0" collapsed="false">
      <c r="A3562" s="148" t="n">
        <v>44481</v>
      </c>
      <c r="B3562" s="37" t="n">
        <v>349.881713867188</v>
      </c>
    </row>
    <row r="3563" customFormat="false" ht="15" hidden="false" customHeight="false" outlineLevel="0" collapsed="false">
      <c r="A3563" s="148" t="n">
        <v>44482</v>
      </c>
      <c r="B3563" s="37" t="n">
        <v>349.881713867188</v>
      </c>
    </row>
    <row r="3564" customFormat="false" ht="15" hidden="false" customHeight="false" outlineLevel="0" collapsed="false">
      <c r="A3564" s="148" t="n">
        <v>44483</v>
      </c>
      <c r="B3564" s="37" t="n">
        <v>369.874969482422</v>
      </c>
    </row>
    <row r="3565" customFormat="false" ht="15" hidden="false" customHeight="false" outlineLevel="0" collapsed="false">
      <c r="A3565" s="148" t="n">
        <v>44484</v>
      </c>
      <c r="B3565" s="37" t="n">
        <v>407.862121582031</v>
      </c>
    </row>
    <row r="3566" customFormat="false" ht="15" hidden="false" customHeight="false" outlineLevel="0" collapsed="false">
      <c r="A3566" s="148" t="n">
        <v>44487</v>
      </c>
      <c r="B3566" s="37" t="n">
        <v>449.847930908203</v>
      </c>
    </row>
    <row r="3567" customFormat="false" ht="15" hidden="false" customHeight="false" outlineLevel="0" collapsed="false">
      <c r="A3567" s="148" t="n">
        <v>44488</v>
      </c>
      <c r="B3567" s="37" t="n">
        <v>509.827667236328</v>
      </c>
    </row>
    <row r="3568" customFormat="false" ht="15" hidden="false" customHeight="false" outlineLevel="0" collapsed="false">
      <c r="A3568" s="148" t="n">
        <v>44489</v>
      </c>
      <c r="B3568" s="37" t="n">
        <v>472.840148925781</v>
      </c>
    </row>
    <row r="3569" customFormat="false" ht="15" hidden="false" customHeight="false" outlineLevel="0" collapsed="false">
      <c r="A3569" s="148" t="n">
        <v>44490</v>
      </c>
      <c r="B3569" s="37" t="n">
        <v>436.852325439453</v>
      </c>
    </row>
    <row r="3570" customFormat="false" ht="15" hidden="false" customHeight="false" outlineLevel="0" collapsed="false">
      <c r="A3570" s="148" t="n">
        <v>44491</v>
      </c>
      <c r="B3570" s="37" t="n">
        <v>432.853668212891</v>
      </c>
    </row>
    <row r="3571" customFormat="false" ht="15" hidden="false" customHeight="false" outlineLevel="0" collapsed="false">
      <c r="A3571" s="148" t="n">
        <v>44494</v>
      </c>
      <c r="B3571" s="37" t="n">
        <v>415.859436035156</v>
      </c>
    </row>
    <row r="3572" customFormat="false" ht="15" hidden="false" customHeight="false" outlineLevel="0" collapsed="false">
      <c r="A3572" s="148" t="n">
        <v>44495</v>
      </c>
      <c r="B3572" s="37" t="n">
        <v>464.842864990234</v>
      </c>
    </row>
    <row r="3573" customFormat="false" ht="15" hidden="false" customHeight="false" outlineLevel="0" collapsed="false">
      <c r="A3573" s="148" t="n">
        <v>44496</v>
      </c>
      <c r="B3573" s="37" t="n">
        <v>463.843200683594</v>
      </c>
    </row>
    <row r="3574" customFormat="false" ht="15" hidden="false" customHeight="false" outlineLevel="0" collapsed="false">
      <c r="A3574" s="148" t="n">
        <v>44497</v>
      </c>
      <c r="B3574" s="37" t="n">
        <v>498.831359863281</v>
      </c>
    </row>
    <row r="3575" customFormat="false" ht="15" hidden="false" customHeight="false" outlineLevel="0" collapsed="false">
      <c r="A3575" s="148" t="n">
        <v>44498</v>
      </c>
      <c r="B3575" s="37" t="n">
        <v>499.8310546875</v>
      </c>
    </row>
    <row r="3576" customFormat="false" ht="15" hidden="false" customHeight="false" outlineLevel="0" collapsed="false">
      <c r="A3576" s="148" t="n">
        <v>44502</v>
      </c>
      <c r="B3576" s="37" t="n">
        <v>467.841857910156</v>
      </c>
    </row>
    <row r="3577" customFormat="false" ht="15" hidden="false" customHeight="false" outlineLevel="0" collapsed="false">
      <c r="A3577" s="148" t="n">
        <v>44503</v>
      </c>
      <c r="B3577" s="37" t="n">
        <v>489.834411621094</v>
      </c>
    </row>
    <row r="3578" customFormat="false" ht="15" hidden="false" customHeight="false" outlineLevel="0" collapsed="false">
      <c r="A3578" s="148" t="n">
        <v>44504</v>
      </c>
      <c r="B3578" s="37" t="n">
        <v>484.836120605469</v>
      </c>
    </row>
    <row r="3579" customFormat="false" ht="15" hidden="false" customHeight="false" outlineLevel="0" collapsed="false">
      <c r="A3579" s="148" t="n">
        <v>44505</v>
      </c>
      <c r="B3579" s="37" t="n">
        <v>489.834411621094</v>
      </c>
    </row>
    <row r="3580" customFormat="false" ht="15" hidden="false" customHeight="false" outlineLevel="0" collapsed="false">
      <c r="A3580" s="148" t="n">
        <v>44508</v>
      </c>
      <c r="B3580" s="37" t="n">
        <v>489.834411621094</v>
      </c>
    </row>
    <row r="3581" customFormat="false" ht="15" hidden="false" customHeight="false" outlineLevel="0" collapsed="false">
      <c r="A3581" s="148" t="n">
        <v>44509</v>
      </c>
      <c r="B3581" s="37" t="n">
        <v>489.834411621094</v>
      </c>
    </row>
    <row r="3582" customFormat="false" ht="15" hidden="false" customHeight="false" outlineLevel="0" collapsed="false">
      <c r="A3582" s="148" t="n">
        <v>44510</v>
      </c>
      <c r="B3582" s="37" t="n">
        <v>489.834411621094</v>
      </c>
    </row>
    <row r="3583" customFormat="false" ht="15" hidden="false" customHeight="false" outlineLevel="0" collapsed="false">
      <c r="A3583" s="148" t="n">
        <v>44511</v>
      </c>
      <c r="B3583" s="37" t="n">
        <v>484.836120605469</v>
      </c>
    </row>
    <row r="3584" customFormat="false" ht="15" hidden="false" customHeight="false" outlineLevel="0" collapsed="false">
      <c r="A3584" s="148" t="n">
        <v>44512</v>
      </c>
      <c r="B3584" s="37" t="n">
        <v>480.837463378906</v>
      </c>
    </row>
    <row r="3585" customFormat="false" ht="15" hidden="false" customHeight="false" outlineLevel="0" collapsed="false">
      <c r="A3585" s="148" t="n">
        <v>44515</v>
      </c>
      <c r="B3585" s="37" t="n">
        <v>468.841522216797</v>
      </c>
    </row>
    <row r="3586" customFormat="false" ht="15" hidden="false" customHeight="false" outlineLevel="0" collapsed="false">
      <c r="A3586" s="148" t="n">
        <v>44516</v>
      </c>
      <c r="B3586" s="37" t="n">
        <v>489.834411621094</v>
      </c>
    </row>
    <row r="3587" customFormat="false" ht="15" hidden="false" customHeight="false" outlineLevel="0" collapsed="false">
      <c r="A3587" s="148" t="n">
        <v>44517</v>
      </c>
      <c r="B3587" s="37" t="n">
        <v>489.834411621094</v>
      </c>
    </row>
    <row r="3588" customFormat="false" ht="15" hidden="false" customHeight="false" outlineLevel="0" collapsed="false">
      <c r="A3588" s="148" t="n">
        <v>44518</v>
      </c>
      <c r="B3588" s="37" t="n">
        <v>488.834777832031</v>
      </c>
    </row>
    <row r="3589" customFormat="false" ht="15" hidden="false" customHeight="false" outlineLevel="0" collapsed="false">
      <c r="A3589" s="148" t="n">
        <v>44519</v>
      </c>
      <c r="B3589" s="37" t="n">
        <v>468.841522216797</v>
      </c>
    </row>
    <row r="3590" customFormat="false" ht="15" hidden="false" customHeight="false" outlineLevel="0" collapsed="false">
      <c r="A3590" s="148" t="n">
        <v>44522</v>
      </c>
      <c r="B3590" s="37" t="n">
        <v>480.837463378906</v>
      </c>
    </row>
    <row r="3591" customFormat="false" ht="15" hidden="false" customHeight="false" outlineLevel="0" collapsed="false">
      <c r="A3591" s="148" t="n">
        <v>44523</v>
      </c>
      <c r="B3591" s="37" t="n">
        <v>486.83544921875</v>
      </c>
    </row>
    <row r="3592" customFormat="false" ht="15" hidden="false" customHeight="false" outlineLevel="0" collapsed="false">
      <c r="A3592" s="148" t="n">
        <v>44524</v>
      </c>
      <c r="B3592" s="37" t="n">
        <v>486.83544921875</v>
      </c>
    </row>
    <row r="3593" customFormat="false" ht="15" hidden="false" customHeight="false" outlineLevel="0" collapsed="false">
      <c r="A3593" s="148" t="n">
        <v>44525</v>
      </c>
      <c r="B3593" s="37" t="n">
        <v>484.836120605469</v>
      </c>
    </row>
    <row r="3594" customFormat="false" ht="15" hidden="false" customHeight="false" outlineLevel="0" collapsed="false">
      <c r="A3594" s="148" t="n">
        <v>44526</v>
      </c>
      <c r="B3594" s="37" t="n">
        <v>439.851318359375</v>
      </c>
    </row>
    <row r="3595" customFormat="false" ht="15" hidden="false" customHeight="false" outlineLevel="0" collapsed="false">
      <c r="A3595" s="148" t="n">
        <v>44529</v>
      </c>
      <c r="B3595" s="37" t="n">
        <v>439.851318359375</v>
      </c>
    </row>
    <row r="3596" customFormat="false" ht="15" hidden="false" customHeight="false" outlineLevel="0" collapsed="false">
      <c r="A3596" s="148" t="n">
        <v>44530</v>
      </c>
      <c r="B3596" s="37" t="n">
        <v>439.851318359375</v>
      </c>
    </row>
    <row r="3597" customFormat="false" ht="15" hidden="false" customHeight="false" outlineLevel="0" collapsed="false">
      <c r="A3597" s="148" t="n">
        <v>44531</v>
      </c>
      <c r="B3597" s="37" t="n">
        <v>439.851318359375</v>
      </c>
    </row>
    <row r="3598" customFormat="false" ht="15" hidden="false" customHeight="false" outlineLevel="0" collapsed="false">
      <c r="A3598" s="148" t="n">
        <v>44532</v>
      </c>
      <c r="B3598" s="37" t="n">
        <v>478.838134765625</v>
      </c>
    </row>
    <row r="3599" customFormat="false" ht="15" hidden="false" customHeight="false" outlineLevel="0" collapsed="false">
      <c r="A3599" s="148" t="n">
        <v>44533</v>
      </c>
      <c r="B3599" s="37" t="n">
        <v>437.851989746094</v>
      </c>
    </row>
    <row r="3600" customFormat="false" ht="15" hidden="false" customHeight="false" outlineLevel="0" collapsed="false">
      <c r="A3600" s="148" t="n">
        <v>44536</v>
      </c>
      <c r="B3600" s="37" t="n">
        <v>429.854675292969</v>
      </c>
    </row>
    <row r="3601" customFormat="false" ht="15" hidden="false" customHeight="false" outlineLevel="0" collapsed="false">
      <c r="A3601" s="148" t="n">
        <v>44537</v>
      </c>
      <c r="B3601" s="37" t="n">
        <v>439.851318359375</v>
      </c>
    </row>
    <row r="3602" customFormat="false" ht="15" hidden="false" customHeight="false" outlineLevel="0" collapsed="false">
      <c r="A3602" s="148" t="n">
        <v>44538</v>
      </c>
      <c r="B3602" s="37" t="n">
        <v>438.851654052734</v>
      </c>
    </row>
    <row r="3603" customFormat="false" ht="15" hidden="false" customHeight="false" outlineLevel="0" collapsed="false">
      <c r="A3603" s="148" t="n">
        <v>44539</v>
      </c>
      <c r="B3603" s="37" t="n">
        <v>429.854675292969</v>
      </c>
    </row>
    <row r="3604" customFormat="false" ht="15" hidden="false" customHeight="false" outlineLevel="0" collapsed="false">
      <c r="A3604" s="148" t="n">
        <v>44540</v>
      </c>
      <c r="B3604" s="37" t="n">
        <v>429.854675292969</v>
      </c>
    </row>
    <row r="3605" customFormat="false" ht="15" hidden="false" customHeight="false" outlineLevel="0" collapsed="false">
      <c r="A3605" s="148" t="n">
        <v>44543</v>
      </c>
      <c r="B3605" s="37" t="n">
        <v>428.855041503906</v>
      </c>
    </row>
    <row r="3606" customFormat="false" ht="15" hidden="false" customHeight="false" outlineLevel="0" collapsed="false">
      <c r="A3606" s="148" t="n">
        <v>44544</v>
      </c>
      <c r="B3606" s="37" t="n">
        <v>428.855041503906</v>
      </c>
    </row>
    <row r="3607" customFormat="false" ht="15" hidden="false" customHeight="false" outlineLevel="0" collapsed="false">
      <c r="A3607" s="148" t="n">
        <v>44545</v>
      </c>
      <c r="B3607" s="37" t="n">
        <v>399.864807128906</v>
      </c>
    </row>
    <row r="3608" customFormat="false" ht="15" hidden="false" customHeight="false" outlineLevel="0" collapsed="false">
      <c r="A3608" s="148" t="n">
        <v>44547</v>
      </c>
      <c r="B3608" s="37" t="n">
        <v>427.855377197266</v>
      </c>
    </row>
    <row r="3609" customFormat="false" ht="15" hidden="false" customHeight="false" outlineLevel="0" collapsed="false">
      <c r="A3609" s="148" t="n">
        <v>44550</v>
      </c>
      <c r="B3609" s="37" t="n">
        <v>419.858062744141</v>
      </c>
    </row>
    <row r="3610" customFormat="false" ht="15" hidden="false" customHeight="false" outlineLevel="0" collapsed="false">
      <c r="A3610" s="148" t="n">
        <v>44551</v>
      </c>
      <c r="B3610" s="37" t="n">
        <v>419.858062744141</v>
      </c>
    </row>
    <row r="3611" customFormat="false" ht="15" hidden="false" customHeight="false" outlineLevel="0" collapsed="false">
      <c r="A3611" s="148" t="n">
        <v>44552</v>
      </c>
      <c r="B3611" s="37" t="n">
        <v>418.8583984375</v>
      </c>
    </row>
    <row r="3612" customFormat="false" ht="15" hidden="false" customHeight="false" outlineLevel="0" collapsed="false">
      <c r="A3612" s="148" t="n">
        <v>44553</v>
      </c>
      <c r="B3612" s="37" t="n">
        <v>399.864807128906</v>
      </c>
    </row>
    <row r="3613" customFormat="false" ht="15" hidden="false" customHeight="false" outlineLevel="0" collapsed="false">
      <c r="A3613" s="148" t="n">
        <v>44554</v>
      </c>
      <c r="B3613" s="37" t="n">
        <v>399.864807128906</v>
      </c>
    </row>
    <row r="3614" customFormat="false" ht="15" hidden="false" customHeight="false" outlineLevel="0" collapsed="false">
      <c r="A3614" s="148" t="n">
        <v>44558</v>
      </c>
      <c r="B3614" s="37" t="n">
        <v>399.864807128906</v>
      </c>
    </row>
    <row r="3615" customFormat="false" ht="15" hidden="false" customHeight="false" outlineLevel="0" collapsed="false">
      <c r="A3615" s="148" t="n">
        <v>44559</v>
      </c>
      <c r="B3615" s="37" t="n">
        <v>399.864807128906</v>
      </c>
    </row>
    <row r="3616" customFormat="false" ht="15" hidden="false" customHeight="false" outlineLevel="0" collapsed="false">
      <c r="A3616" s="148" t="n">
        <v>44560</v>
      </c>
      <c r="B3616" s="37" t="n">
        <v>399.864807128906</v>
      </c>
    </row>
    <row r="3617" customFormat="false" ht="15" hidden="false" customHeight="false" outlineLevel="0" collapsed="false">
      <c r="A3617" s="148" t="n">
        <v>44561</v>
      </c>
      <c r="B3617" s="37" t="n">
        <v>399.864807128906</v>
      </c>
    </row>
    <row r="3618" customFormat="false" ht="15" hidden="false" customHeight="false" outlineLevel="0" collapsed="false">
      <c r="A3618" s="148" t="n">
        <v>44564</v>
      </c>
      <c r="B3618" s="37" t="n">
        <v>379.87158203125</v>
      </c>
    </row>
    <row r="3619" customFormat="false" ht="15" hidden="false" customHeight="false" outlineLevel="0" collapsed="false">
      <c r="A3619" s="148" t="n">
        <v>44565</v>
      </c>
      <c r="B3619" s="37" t="n">
        <v>399.864807128906</v>
      </c>
    </row>
    <row r="3620" customFormat="false" ht="15" hidden="false" customHeight="false" outlineLevel="0" collapsed="false">
      <c r="A3620" s="148" t="n">
        <v>44566</v>
      </c>
      <c r="B3620" s="37" t="n">
        <v>379.87158203125</v>
      </c>
    </row>
    <row r="3621" customFormat="false" ht="15" hidden="false" customHeight="false" outlineLevel="0" collapsed="false">
      <c r="A3621" s="148" t="n">
        <v>44567</v>
      </c>
      <c r="B3621" s="37" t="n">
        <v>399.864807128906</v>
      </c>
    </row>
    <row r="3622" customFormat="false" ht="15" hidden="false" customHeight="false" outlineLevel="0" collapsed="false">
      <c r="A3622" s="148" t="n">
        <v>44568</v>
      </c>
      <c r="B3622" s="37" t="n">
        <v>399.864807128906</v>
      </c>
    </row>
    <row r="3623" customFormat="false" ht="15" hidden="false" customHeight="false" outlineLevel="0" collapsed="false">
      <c r="A3623" s="148" t="n">
        <v>44571</v>
      </c>
      <c r="B3623" s="37" t="n">
        <v>399.864807128906</v>
      </c>
    </row>
    <row r="3624" customFormat="false" ht="15" hidden="false" customHeight="false" outlineLevel="0" collapsed="false">
      <c r="A3624" s="148" t="n">
        <v>44572</v>
      </c>
      <c r="B3624" s="37" t="n">
        <v>399.864807128906</v>
      </c>
    </row>
    <row r="3625" customFormat="false" ht="15" hidden="false" customHeight="false" outlineLevel="0" collapsed="false">
      <c r="A3625" s="148" t="n">
        <v>44573</v>
      </c>
      <c r="B3625" s="37" t="n">
        <v>379.87158203125</v>
      </c>
    </row>
    <row r="3626" customFormat="false" ht="15" hidden="false" customHeight="false" outlineLevel="0" collapsed="false">
      <c r="A3626" s="148" t="n">
        <v>44574</v>
      </c>
      <c r="B3626" s="37" t="n">
        <v>399.864807128906</v>
      </c>
    </row>
    <row r="3627" customFormat="false" ht="15" hidden="false" customHeight="false" outlineLevel="0" collapsed="false">
      <c r="A3627" s="148" t="n">
        <v>44575</v>
      </c>
      <c r="B3627" s="37" t="n">
        <v>398.865173339844</v>
      </c>
    </row>
    <row r="3628" customFormat="false" ht="15" hidden="false" customHeight="false" outlineLevel="0" collapsed="false">
      <c r="A3628" s="148" t="n">
        <v>44578</v>
      </c>
      <c r="B3628" s="37" t="n">
        <v>394.866516113281</v>
      </c>
    </row>
    <row r="3629" customFormat="false" ht="15" hidden="false" customHeight="false" outlineLevel="0" collapsed="false">
      <c r="A3629" s="148" t="n">
        <v>44579</v>
      </c>
      <c r="B3629" s="37" t="n">
        <v>399.864807128906</v>
      </c>
    </row>
    <row r="3630" customFormat="false" ht="15" hidden="false" customHeight="false" outlineLevel="0" collapsed="false">
      <c r="A3630" s="148" t="n">
        <v>44580</v>
      </c>
      <c r="B3630" s="37" t="n">
        <v>381.870910644531</v>
      </c>
    </row>
    <row r="3631" customFormat="false" ht="15" hidden="false" customHeight="false" outlineLevel="0" collapsed="false">
      <c r="A3631" s="148" t="n">
        <v>44581</v>
      </c>
      <c r="B3631" s="37" t="n">
        <v>399.864807128906</v>
      </c>
    </row>
    <row r="3632" customFormat="false" ht="15" hidden="false" customHeight="false" outlineLevel="0" collapsed="false">
      <c r="A3632" s="148" t="n">
        <v>44582</v>
      </c>
      <c r="B3632" s="37" t="n">
        <v>412.860412597656</v>
      </c>
    </row>
    <row r="3633" customFormat="false" ht="15" hidden="false" customHeight="false" outlineLevel="0" collapsed="false">
      <c r="A3633" s="148" t="n">
        <v>44585</v>
      </c>
      <c r="B3633" s="37" t="n">
        <v>409.861450195313</v>
      </c>
    </row>
    <row r="3634" customFormat="false" ht="15" hidden="false" customHeight="false" outlineLevel="0" collapsed="false">
      <c r="A3634" s="148" t="n">
        <v>44586</v>
      </c>
      <c r="B3634" s="37" t="n">
        <v>399.864807128906</v>
      </c>
    </row>
    <row r="3635" customFormat="false" ht="15" hidden="false" customHeight="false" outlineLevel="0" collapsed="false">
      <c r="A3635" s="148" t="n">
        <v>44587</v>
      </c>
      <c r="B3635" s="37" t="n">
        <v>398.865173339844</v>
      </c>
    </row>
    <row r="3636" customFormat="false" ht="15" hidden="false" customHeight="false" outlineLevel="0" collapsed="false">
      <c r="A3636" s="148" t="n">
        <v>44588</v>
      </c>
      <c r="B3636" s="37" t="n">
        <v>379.87158203125</v>
      </c>
    </row>
    <row r="3637" customFormat="false" ht="15" hidden="false" customHeight="false" outlineLevel="0" collapsed="false">
      <c r="A3637" s="148" t="n">
        <v>44589</v>
      </c>
      <c r="B3637" s="37" t="n">
        <v>379.87158203125</v>
      </c>
    </row>
    <row r="3638" customFormat="false" ht="15" hidden="false" customHeight="false" outlineLevel="0" collapsed="false">
      <c r="A3638" s="148" t="n">
        <v>44592</v>
      </c>
      <c r="B3638" s="37" t="n">
        <v>398.865173339844</v>
      </c>
    </row>
    <row r="3639" customFormat="false" ht="15" hidden="false" customHeight="false" outlineLevel="0" collapsed="false">
      <c r="A3639" s="148" t="n">
        <v>44593</v>
      </c>
      <c r="B3639" s="37" t="n">
        <v>379.87158203125</v>
      </c>
    </row>
    <row r="3640" customFormat="false" ht="15" hidden="false" customHeight="false" outlineLevel="0" collapsed="false">
      <c r="A3640" s="148" t="n">
        <v>44594</v>
      </c>
      <c r="B3640" s="37" t="n">
        <v>397.865509033203</v>
      </c>
    </row>
    <row r="3641" customFormat="false" ht="15" hidden="false" customHeight="false" outlineLevel="0" collapsed="false">
      <c r="A3641" s="148" t="n">
        <v>44595</v>
      </c>
      <c r="B3641" s="37" t="n">
        <v>397.865509033203</v>
      </c>
    </row>
    <row r="3642" customFormat="false" ht="15" hidden="false" customHeight="false" outlineLevel="0" collapsed="false">
      <c r="A3642" s="148" t="n">
        <v>44596</v>
      </c>
      <c r="B3642" s="37" t="n">
        <v>397.865509033203</v>
      </c>
    </row>
    <row r="3643" customFormat="false" ht="15" hidden="false" customHeight="false" outlineLevel="0" collapsed="false">
      <c r="A3643" s="148" t="n">
        <v>44599</v>
      </c>
      <c r="B3643" s="37" t="n">
        <v>368.875274658203</v>
      </c>
    </row>
    <row r="3644" customFormat="false" ht="15" hidden="false" customHeight="false" outlineLevel="0" collapsed="false">
      <c r="A3644" s="148" t="n">
        <v>44600</v>
      </c>
      <c r="B3644" s="37" t="n">
        <v>389.868194580078</v>
      </c>
    </row>
    <row r="3645" customFormat="false" ht="15" hidden="false" customHeight="false" outlineLevel="0" collapsed="false">
      <c r="A3645" s="148" t="n">
        <v>44601</v>
      </c>
      <c r="B3645" s="37" t="n">
        <v>384.869903564453</v>
      </c>
    </row>
    <row r="3646" customFormat="false" ht="15" hidden="false" customHeight="false" outlineLevel="0" collapsed="false">
      <c r="A3646" s="148" t="n">
        <v>44602</v>
      </c>
      <c r="B3646" s="37" t="n">
        <v>384.869903564453</v>
      </c>
    </row>
    <row r="3647" customFormat="false" ht="15" hidden="false" customHeight="false" outlineLevel="0" collapsed="false">
      <c r="A3647" s="148" t="n">
        <v>44603</v>
      </c>
      <c r="B3647" s="37" t="n">
        <v>389.868194580078</v>
      </c>
    </row>
    <row r="3648" customFormat="false" ht="15" hidden="false" customHeight="false" outlineLevel="0" collapsed="false">
      <c r="A3648" s="148" t="n">
        <v>44606</v>
      </c>
      <c r="B3648" s="37" t="n">
        <v>389.868194580078</v>
      </c>
    </row>
    <row r="3649" customFormat="false" ht="15" hidden="false" customHeight="false" outlineLevel="0" collapsed="false">
      <c r="A3649" s="148" t="n">
        <v>44607</v>
      </c>
      <c r="B3649" s="37" t="n">
        <v>389.868194580078</v>
      </c>
    </row>
    <row r="3650" customFormat="false" ht="15" hidden="false" customHeight="false" outlineLevel="0" collapsed="false">
      <c r="A3650" s="148" t="n">
        <v>44608</v>
      </c>
      <c r="B3650" s="37" t="n">
        <v>389.868194580078</v>
      </c>
    </row>
    <row r="3651" customFormat="false" ht="15" hidden="false" customHeight="false" outlineLevel="0" collapsed="false">
      <c r="A3651" s="148" t="n">
        <v>44609</v>
      </c>
      <c r="B3651" s="37" t="n">
        <v>389.868194580078</v>
      </c>
    </row>
    <row r="3652" customFormat="false" ht="15" hidden="false" customHeight="false" outlineLevel="0" collapsed="false">
      <c r="A3652" s="148" t="n">
        <v>44610</v>
      </c>
      <c r="B3652" s="37" t="n">
        <v>386.869232177734</v>
      </c>
    </row>
    <row r="3653" customFormat="false" ht="15" hidden="false" customHeight="false" outlineLevel="0" collapsed="false">
      <c r="A3653" s="148" t="n">
        <v>44613</v>
      </c>
      <c r="B3653" s="37" t="n">
        <v>378.871917724609</v>
      </c>
    </row>
    <row r="3654" customFormat="false" ht="15" hidden="false" customHeight="false" outlineLevel="0" collapsed="false">
      <c r="A3654" s="148" t="n">
        <v>44614</v>
      </c>
      <c r="B3654" s="37" t="n">
        <v>375.872955322266</v>
      </c>
    </row>
    <row r="3655" customFormat="false" ht="15" hidden="false" customHeight="false" outlineLevel="0" collapsed="false">
      <c r="A3655" s="148" t="n">
        <v>44615</v>
      </c>
      <c r="B3655" s="37" t="n">
        <v>366.876007080078</v>
      </c>
    </row>
    <row r="3656" customFormat="false" ht="15" hidden="false" customHeight="false" outlineLevel="0" collapsed="false">
      <c r="A3656" s="148" t="n">
        <v>44616</v>
      </c>
      <c r="B3656" s="37" t="n">
        <v>364.876678466797</v>
      </c>
    </row>
    <row r="3657" customFormat="false" ht="15" hidden="false" customHeight="false" outlineLevel="0" collapsed="false">
      <c r="A3657" s="148" t="n">
        <v>44617</v>
      </c>
      <c r="B3657" s="37" t="n">
        <v>369.874969482422</v>
      </c>
    </row>
    <row r="3658" customFormat="false" ht="15" hidden="false" customHeight="false" outlineLevel="0" collapsed="false">
      <c r="A3658" s="148" t="n">
        <v>44620</v>
      </c>
      <c r="B3658" s="37" t="n">
        <v>362.877349853516</v>
      </c>
    </row>
    <row r="3659" customFormat="false" ht="15" hidden="false" customHeight="false" outlineLevel="0" collapsed="false">
      <c r="A3659" s="148" t="n">
        <v>44621</v>
      </c>
      <c r="B3659" s="37" t="n">
        <v>369.874969482422</v>
      </c>
    </row>
    <row r="3660" customFormat="false" ht="15" hidden="false" customHeight="false" outlineLevel="0" collapsed="false">
      <c r="A3660" s="148" t="n">
        <v>44622</v>
      </c>
      <c r="B3660" s="37" t="n">
        <v>366.876007080078</v>
      </c>
    </row>
    <row r="3661" customFormat="false" ht="15" hidden="false" customHeight="false" outlineLevel="0" collapsed="false">
      <c r="A3661" s="148" t="n">
        <v>44623</v>
      </c>
      <c r="B3661" s="37" t="n">
        <v>379.87158203125</v>
      </c>
    </row>
    <row r="3662" customFormat="false" ht="15" hidden="false" customHeight="false" outlineLevel="0" collapsed="false">
      <c r="A3662" s="148" t="n">
        <v>44624</v>
      </c>
      <c r="B3662" s="37" t="n">
        <v>399.864807128906</v>
      </c>
    </row>
    <row r="3663" customFormat="false" ht="15" hidden="false" customHeight="false" outlineLevel="0" collapsed="false">
      <c r="A3663" s="148" t="n">
        <v>44627</v>
      </c>
      <c r="B3663" s="37" t="n">
        <v>399.864807128906</v>
      </c>
    </row>
    <row r="3664" customFormat="false" ht="15" hidden="false" customHeight="false" outlineLevel="0" collapsed="false">
      <c r="A3664" s="148" t="n">
        <v>44628</v>
      </c>
      <c r="B3664" s="37" t="n">
        <v>379.87158203125</v>
      </c>
    </row>
    <row r="3665" customFormat="false" ht="15" hidden="false" customHeight="false" outlineLevel="0" collapsed="false">
      <c r="A3665" s="148" t="n">
        <v>44629</v>
      </c>
      <c r="B3665" s="37" t="n">
        <v>399.864807128906</v>
      </c>
    </row>
    <row r="3666" customFormat="false" ht="15" hidden="false" customHeight="false" outlineLevel="0" collapsed="false">
      <c r="A3666" s="148" t="n">
        <v>44630</v>
      </c>
      <c r="B3666" s="37" t="n">
        <v>399.864807128906</v>
      </c>
    </row>
    <row r="3667" customFormat="false" ht="15" hidden="false" customHeight="false" outlineLevel="0" collapsed="false">
      <c r="A3667" s="148" t="n">
        <v>44631</v>
      </c>
      <c r="B3667" s="37" t="n">
        <v>399.864807128906</v>
      </c>
    </row>
    <row r="3668" customFormat="false" ht="15" hidden="false" customHeight="false" outlineLevel="0" collapsed="false">
      <c r="A3668" s="148" t="n">
        <v>44634</v>
      </c>
      <c r="B3668" s="37" t="n">
        <v>399.864807128906</v>
      </c>
    </row>
    <row r="3669" customFormat="false" ht="15" hidden="false" customHeight="false" outlineLevel="0" collapsed="false">
      <c r="A3669" s="148" t="n">
        <v>44635</v>
      </c>
      <c r="B3669" s="37" t="n">
        <v>385.869567871094</v>
      </c>
    </row>
    <row r="3670" customFormat="false" ht="15" hidden="false" customHeight="false" outlineLevel="0" collapsed="false">
      <c r="A3670" s="148" t="n">
        <v>44636</v>
      </c>
      <c r="B3670" s="37" t="n">
        <v>385.869567871094</v>
      </c>
    </row>
    <row r="3671" customFormat="false" ht="15" hidden="false" customHeight="false" outlineLevel="0" collapsed="false">
      <c r="A3671" s="148" t="n">
        <v>44637</v>
      </c>
      <c r="B3671" s="37" t="n">
        <v>384.869903564453</v>
      </c>
    </row>
    <row r="3672" customFormat="false" ht="15" hidden="false" customHeight="false" outlineLevel="0" collapsed="false">
      <c r="A3672" s="148" t="n">
        <v>44638</v>
      </c>
      <c r="B3672" s="37" t="n">
        <v>398.865173339844</v>
      </c>
    </row>
    <row r="3673" customFormat="false" ht="15" hidden="false" customHeight="false" outlineLevel="0" collapsed="false">
      <c r="A3673" s="148" t="n">
        <v>44642</v>
      </c>
      <c r="B3673" s="37" t="n">
        <v>388.868560791016</v>
      </c>
    </row>
    <row r="3674" customFormat="false" ht="15" hidden="false" customHeight="false" outlineLevel="0" collapsed="false">
      <c r="A3674" s="148" t="n">
        <v>44643</v>
      </c>
      <c r="B3674" s="37" t="n">
        <v>396.865844726563</v>
      </c>
    </row>
    <row r="3675" customFormat="false" ht="15" hidden="false" customHeight="false" outlineLevel="0" collapsed="false">
      <c r="A3675" s="148" t="n">
        <v>44644</v>
      </c>
      <c r="B3675" s="37" t="n">
        <v>395.866180419922</v>
      </c>
    </row>
    <row r="3676" customFormat="false" ht="15" hidden="false" customHeight="false" outlineLevel="0" collapsed="false">
      <c r="A3676" s="148" t="n">
        <v>44645</v>
      </c>
      <c r="B3676" s="37" t="n">
        <v>399.864807128906</v>
      </c>
    </row>
    <row r="3677" customFormat="false" ht="15" hidden="false" customHeight="false" outlineLevel="0" collapsed="false">
      <c r="A3677" s="148" t="n">
        <v>44648</v>
      </c>
      <c r="B3677" s="37" t="n">
        <v>399.864807128906</v>
      </c>
    </row>
    <row r="3678" customFormat="false" ht="15" hidden="false" customHeight="false" outlineLevel="0" collapsed="false">
      <c r="A3678" s="148" t="n">
        <v>44649</v>
      </c>
      <c r="B3678" s="37" t="n">
        <v>386.869232177734</v>
      </c>
    </row>
    <row r="3679" customFormat="false" ht="15" hidden="false" customHeight="false" outlineLevel="0" collapsed="false">
      <c r="A3679" s="148" t="n">
        <v>44650</v>
      </c>
      <c r="B3679" s="37" t="n">
        <v>404.863159179688</v>
      </c>
    </row>
    <row r="3680" customFormat="false" ht="15" hidden="false" customHeight="false" outlineLevel="0" collapsed="false">
      <c r="A3680" s="148" t="n">
        <v>44651</v>
      </c>
      <c r="B3680" s="37" t="n">
        <v>429.854675292969</v>
      </c>
    </row>
    <row r="3681" customFormat="false" ht="15" hidden="false" customHeight="false" outlineLevel="0" collapsed="false">
      <c r="A3681" s="148" t="n">
        <v>44652</v>
      </c>
      <c r="B3681" s="37" t="n">
        <v>409.861450195313</v>
      </c>
    </row>
    <row r="3682" customFormat="false" ht="15" hidden="false" customHeight="false" outlineLevel="0" collapsed="false">
      <c r="A3682" s="148" t="n">
        <v>44655</v>
      </c>
      <c r="B3682" s="37" t="n">
        <v>394.866516113281</v>
      </c>
    </row>
    <row r="3683" customFormat="false" ht="15" hidden="false" customHeight="false" outlineLevel="0" collapsed="false">
      <c r="A3683" s="148" t="n">
        <v>44656</v>
      </c>
      <c r="B3683" s="37" t="n">
        <v>382.870574951172</v>
      </c>
    </row>
    <row r="3684" customFormat="false" ht="15" hidden="false" customHeight="false" outlineLevel="0" collapsed="false">
      <c r="A3684" s="148" t="n">
        <v>44657</v>
      </c>
      <c r="B3684" s="37" t="n">
        <v>367.875640869141</v>
      </c>
    </row>
    <row r="3685" customFormat="false" ht="15" hidden="false" customHeight="false" outlineLevel="0" collapsed="false">
      <c r="A3685" s="148" t="n">
        <v>44658</v>
      </c>
      <c r="B3685" s="37" t="n">
        <v>399.864807128906</v>
      </c>
    </row>
    <row r="3686" customFormat="false" ht="15" hidden="false" customHeight="false" outlineLevel="0" collapsed="false">
      <c r="A3686" s="148" t="n">
        <v>44659</v>
      </c>
      <c r="B3686" s="37" t="n">
        <v>395.866180419922</v>
      </c>
    </row>
    <row r="3687" customFormat="false" ht="15" hidden="false" customHeight="false" outlineLevel="0" collapsed="false">
      <c r="A3687" s="148" t="n">
        <v>44662</v>
      </c>
      <c r="B3687" s="37" t="n">
        <v>351.881042480469</v>
      </c>
    </row>
    <row r="3688" customFormat="false" ht="15" hidden="false" customHeight="false" outlineLevel="0" collapsed="false">
      <c r="A3688" s="148" t="n">
        <v>44663</v>
      </c>
      <c r="B3688" s="37" t="n">
        <v>362.877349853516</v>
      </c>
    </row>
    <row r="3689" customFormat="false" ht="15" hidden="false" customHeight="false" outlineLevel="0" collapsed="false">
      <c r="A3689" s="148" t="n">
        <v>44664</v>
      </c>
      <c r="B3689" s="37" t="n">
        <v>359.878326416016</v>
      </c>
    </row>
    <row r="3690" customFormat="false" ht="15" hidden="false" customHeight="false" outlineLevel="0" collapsed="false">
      <c r="A3690" s="148" t="n">
        <v>44665</v>
      </c>
      <c r="B3690" s="37" t="n">
        <v>349.881713867188</v>
      </c>
    </row>
    <row r="3691" customFormat="false" ht="15" hidden="false" customHeight="false" outlineLevel="0" collapsed="false">
      <c r="A3691" s="148" t="n">
        <v>44670</v>
      </c>
      <c r="B3691" s="37" t="n">
        <v>366.876007080078</v>
      </c>
    </row>
    <row r="3692" customFormat="false" ht="15" hidden="false" customHeight="false" outlineLevel="0" collapsed="false">
      <c r="A3692" s="148" t="n">
        <v>44671</v>
      </c>
      <c r="B3692" s="37" t="n">
        <v>374.873260498047</v>
      </c>
    </row>
    <row r="3693" customFormat="false" ht="15" hidden="false" customHeight="false" outlineLevel="0" collapsed="false">
      <c r="A3693" s="148" t="n">
        <v>44672</v>
      </c>
      <c r="B3693" s="37" t="n">
        <v>374.873260498047</v>
      </c>
    </row>
    <row r="3694" customFormat="false" ht="15" hidden="false" customHeight="false" outlineLevel="0" collapsed="false">
      <c r="A3694" s="148" t="n">
        <v>44673</v>
      </c>
      <c r="B3694" s="37" t="n">
        <v>389.868194580078</v>
      </c>
    </row>
    <row r="3695" customFormat="false" ht="15" hidden="false" customHeight="false" outlineLevel="0" collapsed="false">
      <c r="A3695" s="148" t="n">
        <v>44676</v>
      </c>
      <c r="B3695" s="37" t="n">
        <v>349.881713867188</v>
      </c>
    </row>
    <row r="3696" customFormat="false" ht="15" hidden="false" customHeight="false" outlineLevel="0" collapsed="false">
      <c r="A3696" s="148" t="n">
        <v>44677</v>
      </c>
      <c r="B3696" s="37" t="n">
        <v>369.874969482422</v>
      </c>
    </row>
    <row r="3697" customFormat="false" ht="15" hidden="false" customHeight="false" outlineLevel="0" collapsed="false">
      <c r="A3697" s="148" t="n">
        <v>44679</v>
      </c>
      <c r="B3697" s="37" t="n">
        <v>369.874969482422</v>
      </c>
    </row>
    <row r="3698" customFormat="false" ht="15" hidden="false" customHeight="false" outlineLevel="0" collapsed="false">
      <c r="A3698" s="148" t="n">
        <v>44680</v>
      </c>
      <c r="B3698" s="37" t="n">
        <v>362.877349853516</v>
      </c>
    </row>
    <row r="3699" customFormat="false" ht="15" hidden="false" customHeight="false" outlineLevel="0" collapsed="false">
      <c r="A3699" s="148" t="n">
        <v>44684</v>
      </c>
      <c r="B3699" s="37" t="n">
        <v>369.874969482422</v>
      </c>
    </row>
    <row r="3700" customFormat="false" ht="15" hidden="false" customHeight="false" outlineLevel="0" collapsed="false">
      <c r="A3700" s="148" t="n">
        <v>44685</v>
      </c>
      <c r="B3700" s="37" t="n">
        <v>369.874969482422</v>
      </c>
    </row>
    <row r="3701" customFormat="false" ht="15" hidden="false" customHeight="false" outlineLevel="0" collapsed="false">
      <c r="A3701" s="148" t="n">
        <v>44686</v>
      </c>
      <c r="B3701" s="37" t="n">
        <v>369.874969482422</v>
      </c>
    </row>
    <row r="3702" customFormat="false" ht="15" hidden="false" customHeight="false" outlineLevel="0" collapsed="false">
      <c r="A3702" s="148" t="n">
        <v>44687</v>
      </c>
      <c r="B3702" s="37" t="n">
        <v>374.873260498047</v>
      </c>
    </row>
    <row r="3703" customFormat="false" ht="15" hidden="false" customHeight="false" outlineLevel="0" collapsed="false">
      <c r="A3703" s="148" t="n">
        <v>44690</v>
      </c>
      <c r="B3703" s="37" t="n">
        <v>399.864807128906</v>
      </c>
    </row>
    <row r="3704" customFormat="false" ht="15" hidden="false" customHeight="false" outlineLevel="0" collapsed="false">
      <c r="A3704" s="148" t="n">
        <v>44691</v>
      </c>
      <c r="B3704" s="37" t="n">
        <v>395.866180419922</v>
      </c>
    </row>
    <row r="3705" customFormat="false" ht="15" hidden="false" customHeight="false" outlineLevel="0" collapsed="false">
      <c r="A3705" s="148" t="n">
        <v>44692</v>
      </c>
      <c r="B3705" s="37" t="n">
        <v>379.87158203125</v>
      </c>
    </row>
    <row r="3706" customFormat="false" ht="15" hidden="false" customHeight="false" outlineLevel="0" collapsed="false">
      <c r="A3706" s="148" t="n">
        <v>44693</v>
      </c>
      <c r="B3706" s="37" t="n">
        <v>379.87158203125</v>
      </c>
    </row>
    <row r="3707" customFormat="false" ht="15" hidden="false" customHeight="false" outlineLevel="0" collapsed="false">
      <c r="A3707" s="148" t="n">
        <v>44694</v>
      </c>
      <c r="B3707" s="37" t="n">
        <v>389.868194580078</v>
      </c>
    </row>
    <row r="3708" customFormat="false" ht="15" hidden="false" customHeight="false" outlineLevel="0" collapsed="false">
      <c r="A3708" s="148" t="n">
        <v>44697</v>
      </c>
      <c r="B3708" s="37" t="n">
        <v>379.87158203125</v>
      </c>
    </row>
    <row r="3709" customFormat="false" ht="15" hidden="false" customHeight="false" outlineLevel="0" collapsed="false">
      <c r="A3709" s="148" t="n">
        <v>44698</v>
      </c>
      <c r="B3709" s="37" t="n">
        <v>379.87158203125</v>
      </c>
    </row>
    <row r="3710" customFormat="false" ht="15" hidden="false" customHeight="false" outlineLevel="0" collapsed="false">
      <c r="A3710" s="148" t="n">
        <v>44699</v>
      </c>
      <c r="B3710" s="37" t="n">
        <v>392.8671875</v>
      </c>
    </row>
    <row r="3711" customFormat="false" ht="15" hidden="false" customHeight="false" outlineLevel="0" collapsed="false">
      <c r="A3711" s="148" t="n">
        <v>44700</v>
      </c>
      <c r="B3711" s="37" t="n">
        <v>388.868560791016</v>
      </c>
    </row>
    <row r="3712" customFormat="false" ht="15" hidden="false" customHeight="false" outlineLevel="0" collapsed="false">
      <c r="A3712" s="148" t="n">
        <v>44701</v>
      </c>
      <c r="B3712" s="37" t="n">
        <v>379.87158203125</v>
      </c>
    </row>
    <row r="3713" customFormat="false" ht="15" hidden="false" customHeight="false" outlineLevel="0" collapsed="false">
      <c r="A3713" s="148" t="n">
        <v>44704</v>
      </c>
      <c r="B3713" s="37" t="n">
        <v>374.873260498047</v>
      </c>
    </row>
    <row r="3714" customFormat="false" ht="15" hidden="false" customHeight="false" outlineLevel="0" collapsed="false">
      <c r="A3714" s="148" t="n">
        <v>44705</v>
      </c>
      <c r="B3714" s="37" t="n">
        <v>359.878326416016</v>
      </c>
    </row>
    <row r="3715" customFormat="false" ht="15" hidden="false" customHeight="false" outlineLevel="0" collapsed="false">
      <c r="A3715" s="148" t="n">
        <v>44706</v>
      </c>
      <c r="B3715" s="37" t="n">
        <v>369.874969482422</v>
      </c>
    </row>
    <row r="3716" customFormat="false" ht="15" hidden="false" customHeight="false" outlineLevel="0" collapsed="false">
      <c r="A3716" s="148" t="n">
        <v>44707</v>
      </c>
      <c r="B3716" s="37" t="n">
        <v>387.868896484375</v>
      </c>
    </row>
    <row r="3717" customFormat="false" ht="15" hidden="false" customHeight="false" outlineLevel="0" collapsed="false">
      <c r="A3717" s="148" t="n">
        <v>44708</v>
      </c>
      <c r="B3717" s="37" t="n">
        <v>374.873260498047</v>
      </c>
    </row>
    <row r="3718" customFormat="false" ht="15" hidden="false" customHeight="false" outlineLevel="0" collapsed="false">
      <c r="A3718" s="148" t="n">
        <v>44711</v>
      </c>
      <c r="B3718" s="37" t="n">
        <v>390.867858886719</v>
      </c>
    </row>
    <row r="3719" customFormat="false" ht="15" hidden="false" customHeight="false" outlineLevel="0" collapsed="false">
      <c r="A3719" s="148" t="n">
        <v>44712</v>
      </c>
      <c r="B3719" s="37" t="n">
        <v>384.869903564453</v>
      </c>
    </row>
    <row r="3720" customFormat="false" ht="15" hidden="false" customHeight="false" outlineLevel="0" collapsed="false">
      <c r="A3720" s="148" t="n">
        <v>44713</v>
      </c>
      <c r="B3720" s="37" t="n">
        <v>389.868194580078</v>
      </c>
    </row>
    <row r="3721" customFormat="false" ht="15" hidden="false" customHeight="false" outlineLevel="0" collapsed="false">
      <c r="A3721" s="148" t="n">
        <v>44714</v>
      </c>
      <c r="B3721" s="37" t="n">
        <v>383.870239257813</v>
      </c>
    </row>
    <row r="3722" customFormat="false" ht="15" hidden="false" customHeight="false" outlineLevel="0" collapsed="false">
      <c r="A3722" s="148" t="n">
        <v>44715</v>
      </c>
      <c r="B3722" s="37" t="n">
        <v>374.873260498047</v>
      </c>
    </row>
    <row r="3723" customFormat="false" ht="15" hidden="false" customHeight="false" outlineLevel="0" collapsed="false">
      <c r="A3723" s="148" t="n">
        <v>44718</v>
      </c>
      <c r="B3723" s="37" t="n">
        <v>374.873260498047</v>
      </c>
    </row>
    <row r="3724" customFormat="false" ht="15" hidden="false" customHeight="false" outlineLevel="0" collapsed="false">
      <c r="A3724" s="148" t="n">
        <v>44719</v>
      </c>
      <c r="B3724" s="37" t="n">
        <v>374.873260498047</v>
      </c>
    </row>
    <row r="3725" customFormat="false" ht="15" hidden="false" customHeight="false" outlineLevel="0" collapsed="false">
      <c r="A3725" s="148" t="n">
        <v>44720</v>
      </c>
      <c r="B3725" s="37" t="n">
        <v>361.877655029297</v>
      </c>
    </row>
    <row r="3726" customFormat="false" ht="15" hidden="false" customHeight="false" outlineLevel="0" collapsed="false">
      <c r="A3726" s="148" t="n">
        <v>44721</v>
      </c>
      <c r="B3726" s="37" t="n">
        <v>364.876678466797</v>
      </c>
    </row>
    <row r="3727" customFormat="false" ht="15" hidden="false" customHeight="false" outlineLevel="0" collapsed="false">
      <c r="A3727" s="148" t="n">
        <v>44722</v>
      </c>
      <c r="B3727" s="37" t="n">
        <v>359.878326416016</v>
      </c>
    </row>
    <row r="3728" customFormat="false" ht="15" hidden="false" customHeight="false" outlineLevel="0" collapsed="false">
      <c r="A3728" s="148" t="n">
        <v>44725</v>
      </c>
      <c r="B3728" s="37" t="n">
        <v>352.880706787109</v>
      </c>
    </row>
    <row r="3729" customFormat="false" ht="15" hidden="false" customHeight="false" outlineLevel="0" collapsed="false">
      <c r="A3729" s="148" t="n">
        <v>44726</v>
      </c>
      <c r="B3729" s="37" t="n">
        <v>359.878326416016</v>
      </c>
    </row>
    <row r="3730" customFormat="false" ht="15" hidden="false" customHeight="false" outlineLevel="0" collapsed="false">
      <c r="A3730" s="148" t="n">
        <v>44727</v>
      </c>
      <c r="B3730" s="37" t="n">
        <v>358.878692626953</v>
      </c>
    </row>
    <row r="3731" customFormat="false" ht="15" hidden="false" customHeight="false" outlineLevel="0" collapsed="false">
      <c r="A3731" s="148" t="n">
        <v>44729</v>
      </c>
      <c r="B3731" s="37" t="n">
        <v>355.879699707031</v>
      </c>
    </row>
    <row r="3732" customFormat="false" ht="15" hidden="false" customHeight="false" outlineLevel="0" collapsed="false">
      <c r="A3732" s="148" t="n">
        <v>44732</v>
      </c>
      <c r="B3732" s="37" t="n">
        <v>358.878692626953</v>
      </c>
    </row>
    <row r="3733" customFormat="false" ht="15" hidden="false" customHeight="false" outlineLevel="0" collapsed="false">
      <c r="A3733" s="148" t="n">
        <v>44733</v>
      </c>
      <c r="B3733" s="37" t="n">
        <v>357.879028320313</v>
      </c>
    </row>
    <row r="3734" customFormat="false" ht="15" hidden="false" customHeight="false" outlineLevel="0" collapsed="false">
      <c r="A3734" s="148" t="n">
        <v>44734</v>
      </c>
      <c r="B3734" s="37" t="n">
        <v>336.886108398438</v>
      </c>
    </row>
    <row r="3735" customFormat="false" ht="15" hidden="false" customHeight="false" outlineLevel="0" collapsed="false">
      <c r="A3735" s="148" t="n">
        <v>44735</v>
      </c>
      <c r="B3735" s="37" t="n">
        <v>356.879364013672</v>
      </c>
    </row>
    <row r="3736" customFormat="false" ht="15" hidden="false" customHeight="false" outlineLevel="0" collapsed="false">
      <c r="A3736" s="148" t="n">
        <v>44736</v>
      </c>
      <c r="B3736" s="37" t="n">
        <v>348.882049560547</v>
      </c>
    </row>
    <row r="3737" customFormat="false" ht="15" hidden="false" customHeight="false" outlineLevel="0" collapsed="false">
      <c r="A3737" s="148" t="n">
        <v>44739</v>
      </c>
      <c r="B3737" s="37" t="n">
        <v>319.891845703125</v>
      </c>
    </row>
    <row r="3738" customFormat="false" ht="15" hidden="false" customHeight="false" outlineLevel="0" collapsed="false">
      <c r="A3738" s="148" t="n">
        <v>44740</v>
      </c>
      <c r="B3738" s="37" t="n">
        <v>339.885101318359</v>
      </c>
    </row>
    <row r="3739" customFormat="false" ht="15" hidden="false" customHeight="false" outlineLevel="0" collapsed="false">
      <c r="A3739" s="148" t="n">
        <v>44741</v>
      </c>
      <c r="B3739" s="37" t="n">
        <v>334.886779785156</v>
      </c>
    </row>
    <row r="3740" customFormat="false" ht="15" hidden="false" customHeight="false" outlineLevel="0" collapsed="false">
      <c r="A3740" s="148" t="n">
        <v>44742</v>
      </c>
      <c r="B3740" s="37" t="n">
        <v>333.887145996094</v>
      </c>
    </row>
    <row r="3741" customFormat="false" ht="15" hidden="false" customHeight="false" outlineLevel="0" collapsed="false">
      <c r="A3741" s="148" t="n">
        <v>44743</v>
      </c>
      <c r="B3741" s="37" t="n">
        <v>331.887817382813</v>
      </c>
    </row>
    <row r="3742" customFormat="false" ht="15" hidden="false" customHeight="false" outlineLevel="0" collapsed="false">
      <c r="A3742" s="148" t="n">
        <v>44746</v>
      </c>
      <c r="B3742" s="37" t="n">
        <v>339.885101318359</v>
      </c>
    </row>
    <row r="3743" customFormat="false" ht="15" hidden="false" customHeight="false" outlineLevel="0" collapsed="false">
      <c r="A3743" s="148" t="n">
        <v>44747</v>
      </c>
      <c r="B3743" s="37" t="n">
        <v>339.885101318359</v>
      </c>
    </row>
    <row r="3744" customFormat="false" ht="15" hidden="false" customHeight="false" outlineLevel="0" collapsed="false">
      <c r="A3744" s="148" t="n">
        <v>44748</v>
      </c>
      <c r="B3744" s="37" t="n">
        <v>339.885101318359</v>
      </c>
    </row>
    <row r="3745" customFormat="false" ht="15" hidden="false" customHeight="false" outlineLevel="0" collapsed="false">
      <c r="A3745" s="148" t="n">
        <v>44749</v>
      </c>
      <c r="B3745" s="37" t="n">
        <v>339.885101318359</v>
      </c>
    </row>
    <row r="3746" customFormat="false" ht="15" hidden="false" customHeight="false" outlineLevel="0" collapsed="false">
      <c r="A3746" s="148" t="n">
        <v>44750</v>
      </c>
      <c r="B3746" s="37" t="n">
        <v>338.885437011719</v>
      </c>
    </row>
    <row r="3747" customFormat="false" ht="15" hidden="false" customHeight="false" outlineLevel="0" collapsed="false">
      <c r="A3747" s="148" t="n">
        <v>44753</v>
      </c>
      <c r="B3747" s="37" t="n">
        <v>339.885101318359</v>
      </c>
    </row>
    <row r="3748" customFormat="false" ht="15" hidden="false" customHeight="false" outlineLevel="0" collapsed="false">
      <c r="A3748" s="148" t="n">
        <v>44754</v>
      </c>
      <c r="B3748" s="37" t="n">
        <v>325.889831542969</v>
      </c>
    </row>
    <row r="3749" customFormat="false" ht="15" hidden="false" customHeight="false" outlineLevel="0" collapsed="false">
      <c r="A3749" s="148" t="n">
        <v>44755</v>
      </c>
      <c r="B3749" s="37" t="n">
        <v>326.889526367188</v>
      </c>
    </row>
    <row r="3750" customFormat="false" ht="15" hidden="false" customHeight="false" outlineLevel="0" collapsed="false">
      <c r="A3750" s="148" t="n">
        <v>44756</v>
      </c>
      <c r="B3750" s="37" t="n">
        <v>324.890197753906</v>
      </c>
    </row>
    <row r="3751" customFormat="false" ht="15" hidden="false" customHeight="false" outlineLevel="0" collapsed="false">
      <c r="A3751" s="148" t="n">
        <v>44757</v>
      </c>
      <c r="B3751" s="37" t="n">
        <v>323.890502929688</v>
      </c>
    </row>
    <row r="3752" customFormat="false" ht="15" hidden="false" customHeight="false" outlineLevel="0" collapsed="false">
      <c r="A3752" s="148" t="n">
        <v>44760</v>
      </c>
      <c r="B3752" s="37" t="n">
        <v>299.898620605469</v>
      </c>
    </row>
    <row r="3753" customFormat="false" ht="15" hidden="false" customHeight="false" outlineLevel="0" collapsed="false">
      <c r="A3753" s="148" t="n">
        <v>44761</v>
      </c>
      <c r="B3753" s="37" t="n">
        <v>319.891845703125</v>
      </c>
    </row>
    <row r="3754" customFormat="false" ht="15" hidden="false" customHeight="false" outlineLevel="0" collapsed="false">
      <c r="A3754" s="148" t="n">
        <v>44762</v>
      </c>
      <c r="B3754" s="37" t="n">
        <v>309.895233154297</v>
      </c>
    </row>
    <row r="3755" customFormat="false" ht="15" hidden="false" customHeight="false" outlineLevel="0" collapsed="false">
      <c r="A3755" s="148" t="n">
        <v>44763</v>
      </c>
      <c r="B3755" s="37" t="n">
        <v>296.899627685547</v>
      </c>
    </row>
    <row r="3756" customFormat="false" ht="15" hidden="false" customHeight="false" outlineLevel="0" collapsed="false">
      <c r="A3756" s="148" t="n">
        <v>44764</v>
      </c>
      <c r="B3756" s="37" t="n">
        <v>299.898620605469</v>
      </c>
    </row>
    <row r="3757" customFormat="false" ht="15" hidden="false" customHeight="false" outlineLevel="0" collapsed="false">
      <c r="A3757" s="148" t="n">
        <v>44767</v>
      </c>
      <c r="B3757" s="37" t="n">
        <v>299.898620605469</v>
      </c>
    </row>
    <row r="3758" customFormat="false" ht="15" hidden="false" customHeight="false" outlineLevel="0" collapsed="false">
      <c r="A3758" s="148" t="n">
        <v>44768</v>
      </c>
      <c r="B3758" s="37" t="n">
        <v>309.895233154297</v>
      </c>
    </row>
    <row r="3759" customFormat="false" ht="15" hidden="false" customHeight="false" outlineLevel="0" collapsed="false">
      <c r="A3759" s="148" t="n">
        <v>44769</v>
      </c>
      <c r="B3759" s="37" t="n">
        <v>309.895233154297</v>
      </c>
    </row>
    <row r="3760" customFormat="false" ht="15" hidden="false" customHeight="false" outlineLevel="0" collapsed="false">
      <c r="A3760" s="148" t="n">
        <v>44770</v>
      </c>
      <c r="B3760" s="37" t="n">
        <v>299.898620605469</v>
      </c>
    </row>
    <row r="3761" customFormat="false" ht="15" hidden="false" customHeight="false" outlineLevel="0" collapsed="false">
      <c r="A3761" s="148" t="n">
        <v>44771</v>
      </c>
      <c r="B3761" s="37" t="n">
        <v>299.898620605469</v>
      </c>
    </row>
    <row r="3762" customFormat="false" ht="15" hidden="false" customHeight="false" outlineLevel="0" collapsed="false">
      <c r="A3762" s="148" t="n">
        <v>44774</v>
      </c>
      <c r="B3762" s="37" t="n">
        <v>304.896942138672</v>
      </c>
    </row>
    <row r="3763" customFormat="false" ht="15" hidden="false" customHeight="false" outlineLevel="0" collapsed="false">
      <c r="A3763" s="148" t="n">
        <v>44775</v>
      </c>
      <c r="B3763" s="37" t="n">
        <v>291.901336669922</v>
      </c>
    </row>
    <row r="3764" customFormat="false" ht="15" hidden="false" customHeight="false" outlineLevel="0" collapsed="false">
      <c r="A3764" s="148" t="n">
        <v>44776</v>
      </c>
      <c r="B3764" s="37" t="n">
        <v>299.898620605469</v>
      </c>
    </row>
    <row r="3765" customFormat="false" ht="15" hidden="false" customHeight="false" outlineLevel="0" collapsed="false">
      <c r="A3765" s="148" t="n">
        <v>44777</v>
      </c>
      <c r="B3765" s="37" t="n">
        <v>280.905059814453</v>
      </c>
    </row>
    <row r="3766" customFormat="false" ht="15" hidden="false" customHeight="false" outlineLevel="0" collapsed="false">
      <c r="A3766" s="148" t="n">
        <v>44778</v>
      </c>
      <c r="B3766" s="37" t="n">
        <v>298.898956298828</v>
      </c>
    </row>
    <row r="3767" customFormat="false" ht="15" hidden="false" customHeight="false" outlineLevel="0" collapsed="false">
      <c r="A3767" s="148" t="n">
        <v>44781</v>
      </c>
      <c r="B3767" s="37" t="n">
        <v>295.899993896484</v>
      </c>
    </row>
    <row r="3768" customFormat="false" ht="15" hidden="false" customHeight="false" outlineLevel="0" collapsed="false">
      <c r="A3768" s="148" t="n">
        <v>44783</v>
      </c>
      <c r="B3768" s="37" t="n">
        <v>299.898620605469</v>
      </c>
    </row>
    <row r="3769" customFormat="false" ht="15" hidden="false" customHeight="false" outlineLevel="0" collapsed="false">
      <c r="A3769" s="148" t="n">
        <v>44784</v>
      </c>
      <c r="B3769" s="37" t="n">
        <v>275.90673828125</v>
      </c>
    </row>
    <row r="3770" customFormat="false" ht="15" hidden="false" customHeight="false" outlineLevel="0" collapsed="false">
      <c r="A3770" s="148" t="n">
        <v>44785</v>
      </c>
      <c r="B3770" s="37" t="n">
        <v>271.908081054688</v>
      </c>
    </row>
    <row r="3771" customFormat="false" ht="15" hidden="false" customHeight="false" outlineLevel="0" collapsed="false">
      <c r="A3771" s="148" t="n">
        <v>44788</v>
      </c>
      <c r="B3771" s="37" t="n">
        <v>274.907073974609</v>
      </c>
    </row>
    <row r="3772" customFormat="false" ht="15" hidden="false" customHeight="false" outlineLevel="0" collapsed="false">
      <c r="A3772" s="148" t="n">
        <v>44789</v>
      </c>
      <c r="B3772" s="37" t="n">
        <v>274.907073974609</v>
      </c>
    </row>
    <row r="3773" customFormat="false" ht="15" hidden="false" customHeight="false" outlineLevel="0" collapsed="false">
      <c r="A3773" s="148" t="n">
        <v>44790</v>
      </c>
      <c r="B3773" s="37" t="n">
        <v>271.908081054688</v>
      </c>
    </row>
    <row r="3774" customFormat="false" ht="15" hidden="false" customHeight="false" outlineLevel="0" collapsed="false">
      <c r="A3774" s="148" t="n">
        <v>44791</v>
      </c>
      <c r="B3774" s="37" t="n">
        <v>297.899291992188</v>
      </c>
    </row>
    <row r="3775" customFormat="false" ht="15" hidden="false" customHeight="false" outlineLevel="0" collapsed="false">
      <c r="A3775" s="148" t="n">
        <v>44792</v>
      </c>
      <c r="B3775" s="37" t="n">
        <v>279.905364990234</v>
      </c>
    </row>
    <row r="3776" customFormat="false" ht="15" hidden="false" customHeight="false" outlineLevel="0" collapsed="false">
      <c r="A3776" s="148" t="n">
        <v>44795</v>
      </c>
      <c r="B3776" s="37" t="n">
        <v>273.907409667969</v>
      </c>
    </row>
    <row r="3777" customFormat="false" ht="15" hidden="false" customHeight="false" outlineLevel="0" collapsed="false">
      <c r="A3777" s="148" t="n">
        <v>44796</v>
      </c>
      <c r="B3777" s="37" t="n">
        <v>264.910461425781</v>
      </c>
    </row>
    <row r="3778" customFormat="false" ht="15" hidden="false" customHeight="false" outlineLevel="0" collapsed="false">
      <c r="A3778" s="148" t="n">
        <v>44797</v>
      </c>
      <c r="B3778" s="37" t="n">
        <v>271.908081054688</v>
      </c>
    </row>
    <row r="3779" customFormat="false" ht="15" hidden="false" customHeight="false" outlineLevel="0" collapsed="false">
      <c r="A3779" s="148" t="n">
        <v>44798</v>
      </c>
      <c r="B3779" s="37" t="n">
        <v>284.903717041016</v>
      </c>
    </row>
    <row r="3780" customFormat="false" ht="15" hidden="false" customHeight="false" outlineLevel="0" collapsed="false">
      <c r="A3780" s="148" t="n">
        <v>44799</v>
      </c>
      <c r="B3780" s="37" t="n">
        <v>274.907073974609</v>
      </c>
    </row>
    <row r="3781" customFormat="false" ht="15" hidden="false" customHeight="false" outlineLevel="0" collapsed="false">
      <c r="A3781" s="148" t="n">
        <v>44802</v>
      </c>
      <c r="B3781" s="37" t="n">
        <v>260.911804199219</v>
      </c>
    </row>
    <row r="3782" customFormat="false" ht="15" hidden="false" customHeight="false" outlineLevel="0" collapsed="false">
      <c r="A3782" s="148" t="n">
        <v>44803</v>
      </c>
      <c r="B3782" s="37" t="n">
        <v>272.907745361328</v>
      </c>
    </row>
    <row r="3783" customFormat="false" ht="15" hidden="false" customHeight="false" outlineLevel="0" collapsed="false">
      <c r="A3783" s="148" t="n">
        <v>44804</v>
      </c>
      <c r="B3783" s="37" t="n">
        <v>259.912139892578</v>
      </c>
    </row>
    <row r="3784" customFormat="false" ht="15" hidden="false" customHeight="false" outlineLevel="0" collapsed="false">
      <c r="A3784" s="148" t="n">
        <v>44805</v>
      </c>
      <c r="B3784" s="37" t="n">
        <v>284.903717041016</v>
      </c>
    </row>
    <row r="3785" customFormat="false" ht="15" hidden="false" customHeight="false" outlineLevel="0" collapsed="false">
      <c r="A3785" s="148" t="n">
        <v>44806</v>
      </c>
      <c r="B3785" s="37" t="n">
        <v>284.903717041016</v>
      </c>
    </row>
    <row r="3786" customFormat="false" ht="15" hidden="false" customHeight="false" outlineLevel="0" collapsed="false">
      <c r="A3786" s="148" t="n">
        <v>44809</v>
      </c>
      <c r="B3786" s="37" t="n">
        <v>274.907073974609</v>
      </c>
    </row>
    <row r="3787" customFormat="false" ht="15" hidden="false" customHeight="false" outlineLevel="0" collapsed="false">
      <c r="A3787" s="148" t="n">
        <v>44810</v>
      </c>
      <c r="B3787" s="37" t="n">
        <v>264.910461425781</v>
      </c>
    </row>
    <row r="3788" customFormat="false" ht="15" hidden="false" customHeight="false" outlineLevel="0" collapsed="false">
      <c r="A3788" s="148" t="n">
        <v>44811</v>
      </c>
      <c r="B3788" s="37" t="n">
        <v>264.910461425781</v>
      </c>
    </row>
    <row r="3789" customFormat="false" ht="15" hidden="false" customHeight="false" outlineLevel="0" collapsed="false">
      <c r="A3789" s="148" t="n">
        <v>44812</v>
      </c>
      <c r="B3789" s="37" t="n">
        <v>278.905731201172</v>
      </c>
    </row>
    <row r="3790" customFormat="false" ht="15" hidden="false" customHeight="false" outlineLevel="0" collapsed="false">
      <c r="A3790" s="148" t="n">
        <v>44813</v>
      </c>
      <c r="B3790" s="37" t="n">
        <v>271.908081054688</v>
      </c>
    </row>
    <row r="3791" customFormat="false" ht="15" hidden="false" customHeight="false" outlineLevel="0" collapsed="false">
      <c r="A3791" s="148" t="n">
        <v>44816</v>
      </c>
      <c r="B3791" s="37" t="n">
        <v>273.907409667969</v>
      </c>
    </row>
    <row r="3792" customFormat="false" ht="15" hidden="false" customHeight="false" outlineLevel="0" collapsed="false">
      <c r="A3792" s="148" t="n">
        <v>44817</v>
      </c>
      <c r="B3792" s="37" t="n">
        <v>264.910461425781</v>
      </c>
    </row>
    <row r="3793" customFormat="false" ht="15" hidden="false" customHeight="false" outlineLevel="0" collapsed="false">
      <c r="A3793" s="148" t="n">
        <v>44818</v>
      </c>
      <c r="B3793" s="37" t="n">
        <v>277.906036376953</v>
      </c>
    </row>
    <row r="3794" customFormat="false" ht="15" hidden="false" customHeight="false" outlineLevel="0" collapsed="false">
      <c r="A3794" s="148" t="n">
        <v>44819</v>
      </c>
      <c r="B3794" s="37" t="n">
        <v>269.908752441406</v>
      </c>
    </row>
    <row r="3795" customFormat="false" ht="15" hidden="false" customHeight="false" outlineLevel="0" collapsed="false">
      <c r="A3795" s="148" t="n">
        <v>44820</v>
      </c>
      <c r="B3795" s="37" t="n">
        <v>274.907073974609</v>
      </c>
    </row>
    <row r="3796" customFormat="false" ht="15" hidden="false" customHeight="false" outlineLevel="0" collapsed="false">
      <c r="A3796" s="148" t="n">
        <v>44823</v>
      </c>
      <c r="B3796" s="37" t="n">
        <v>274.907073974609</v>
      </c>
    </row>
    <row r="3797" customFormat="false" ht="15" hidden="false" customHeight="false" outlineLevel="0" collapsed="false">
      <c r="A3797" s="148" t="n">
        <v>44824</v>
      </c>
      <c r="B3797" s="37" t="n">
        <v>264.910461425781</v>
      </c>
    </row>
    <row r="3798" customFormat="false" ht="15" hidden="false" customHeight="false" outlineLevel="0" collapsed="false">
      <c r="A3798" s="148" t="n">
        <v>44825</v>
      </c>
      <c r="B3798" s="37" t="n">
        <v>269.908752441406</v>
      </c>
    </row>
    <row r="3799" customFormat="false" ht="15" hidden="false" customHeight="false" outlineLevel="0" collapsed="false">
      <c r="A3799" s="148" t="n">
        <v>44826</v>
      </c>
      <c r="B3799" s="37" t="n">
        <v>267.909423828125</v>
      </c>
    </row>
    <row r="3800" customFormat="false" ht="15" hidden="false" customHeight="false" outlineLevel="0" collapsed="false">
      <c r="A3800" s="148" t="n">
        <v>44827</v>
      </c>
      <c r="B3800" s="37" t="n">
        <v>267.909423828125</v>
      </c>
    </row>
    <row r="3801" customFormat="false" ht="15" hidden="false" customHeight="false" outlineLevel="0" collapsed="false">
      <c r="A3801" s="148" t="n">
        <v>44830</v>
      </c>
      <c r="B3801" s="37" t="n">
        <v>264.910461425781</v>
      </c>
    </row>
    <row r="3802" customFormat="false" ht="15" hidden="false" customHeight="false" outlineLevel="0" collapsed="false">
      <c r="A3802" s="148" t="n">
        <v>44831</v>
      </c>
      <c r="B3802" s="37" t="n">
        <v>262.9111328125</v>
      </c>
    </row>
    <row r="3803" customFormat="false" ht="15" hidden="false" customHeight="false" outlineLevel="0" collapsed="false">
      <c r="A3803" s="148" t="n">
        <v>44832</v>
      </c>
      <c r="B3803" s="37" t="n">
        <v>262.9111328125</v>
      </c>
    </row>
    <row r="3804" customFormat="false" ht="15" hidden="false" customHeight="false" outlineLevel="0" collapsed="false">
      <c r="A3804" s="148" t="n">
        <v>44833</v>
      </c>
      <c r="B3804" s="37" t="n">
        <v>270.908416748047</v>
      </c>
    </row>
    <row r="3805" customFormat="false" ht="15" hidden="false" customHeight="false" outlineLevel="0" collapsed="false">
      <c r="A3805" s="148" t="n">
        <v>44834</v>
      </c>
      <c r="B3805" s="37" t="n">
        <v>274.907073974609</v>
      </c>
    </row>
    <row r="3806" customFormat="false" ht="15" hidden="false" customHeight="false" outlineLevel="0" collapsed="false">
      <c r="A3806" s="148" t="n">
        <v>44837</v>
      </c>
      <c r="B3806" s="37" t="n">
        <v>263.910797119141</v>
      </c>
    </row>
    <row r="3807" customFormat="false" ht="15" hidden="false" customHeight="false" outlineLevel="0" collapsed="false">
      <c r="A3807" s="148" t="n">
        <v>44838</v>
      </c>
      <c r="B3807" s="37" t="n">
        <v>298.898956298828</v>
      </c>
    </row>
    <row r="3808" customFormat="false" ht="15" hidden="false" customHeight="false" outlineLevel="0" collapsed="false">
      <c r="A3808" s="148" t="n">
        <v>44839</v>
      </c>
      <c r="B3808" s="37" t="n">
        <v>309.895233154297</v>
      </c>
    </row>
    <row r="3809" customFormat="false" ht="15" hidden="false" customHeight="false" outlineLevel="0" collapsed="false">
      <c r="A3809" s="148" t="n">
        <v>44840</v>
      </c>
      <c r="B3809" s="37" t="n">
        <v>294.900299072266</v>
      </c>
    </row>
    <row r="3810" customFormat="false" ht="15" hidden="false" customHeight="false" outlineLevel="0" collapsed="false">
      <c r="A3810" s="148" t="n">
        <v>44841</v>
      </c>
      <c r="B3810" s="37" t="n">
        <v>309.895233154297</v>
      </c>
    </row>
    <row r="3811" customFormat="false" ht="15" hidden="false" customHeight="false" outlineLevel="0" collapsed="false">
      <c r="A3811" s="148" t="n">
        <v>44844</v>
      </c>
      <c r="B3811" s="37" t="n">
        <v>308.895568847656</v>
      </c>
    </row>
    <row r="3812" customFormat="false" ht="15" hidden="false" customHeight="false" outlineLevel="0" collapsed="false">
      <c r="A3812" s="148" t="n">
        <v>44845</v>
      </c>
      <c r="B3812" s="37" t="n">
        <v>304.896942138672</v>
      </c>
    </row>
    <row r="3813" customFormat="false" ht="15" hidden="false" customHeight="false" outlineLevel="0" collapsed="false">
      <c r="A3813" s="148" t="n">
        <v>44846</v>
      </c>
      <c r="B3813" s="37" t="n">
        <v>298.898956298828</v>
      </c>
    </row>
    <row r="3814" customFormat="false" ht="15" hidden="false" customHeight="false" outlineLevel="0" collapsed="false">
      <c r="A3814" s="148" t="n">
        <v>44847</v>
      </c>
      <c r="B3814" s="37" t="n">
        <v>299.898620605469</v>
      </c>
    </row>
    <row r="3815" customFormat="false" ht="15" hidden="false" customHeight="false" outlineLevel="0" collapsed="false">
      <c r="A3815" s="148" t="n">
        <v>44848</v>
      </c>
      <c r="B3815" s="37" t="n">
        <v>304.896942138672</v>
      </c>
    </row>
    <row r="3816" customFormat="false" ht="15" hidden="false" customHeight="false" outlineLevel="0" collapsed="false">
      <c r="A3816" s="148" t="n">
        <v>44851</v>
      </c>
      <c r="B3816" s="37" t="n">
        <v>303.897277832031</v>
      </c>
    </row>
    <row r="3817" customFormat="false" ht="15" hidden="false" customHeight="false" outlineLevel="0" collapsed="false">
      <c r="A3817" s="148" t="n">
        <v>44852</v>
      </c>
      <c r="B3817" s="37" t="n">
        <v>274.907073974609</v>
      </c>
    </row>
    <row r="3818" customFormat="false" ht="15" hidden="false" customHeight="false" outlineLevel="0" collapsed="false">
      <c r="A3818" s="148" t="n">
        <v>44853</v>
      </c>
      <c r="B3818" s="37" t="n">
        <v>287.902679443359</v>
      </c>
    </row>
    <row r="3819" customFormat="false" ht="15" hidden="false" customHeight="false" outlineLevel="0" collapsed="false">
      <c r="A3819" s="148" t="n">
        <v>44854</v>
      </c>
      <c r="B3819" s="37" t="n">
        <v>290.901641845703</v>
      </c>
    </row>
    <row r="3820" customFormat="false" ht="15" hidden="false" customHeight="false" outlineLevel="0" collapsed="false">
      <c r="A3820" s="148" t="n">
        <v>44855</v>
      </c>
      <c r="B3820" s="37" t="n">
        <v>289.902008056641</v>
      </c>
    </row>
    <row r="3821" customFormat="false" ht="15" hidden="false" customHeight="false" outlineLevel="0" collapsed="false">
      <c r="A3821" s="148" t="n">
        <v>44858</v>
      </c>
      <c r="B3821" s="37" t="n">
        <v>269.908752441406</v>
      </c>
    </row>
    <row r="3822" customFormat="false" ht="15" hidden="false" customHeight="false" outlineLevel="0" collapsed="false">
      <c r="A3822" s="148" t="n">
        <v>44859</v>
      </c>
      <c r="B3822" s="37" t="n">
        <v>274.907073974609</v>
      </c>
    </row>
    <row r="3823" customFormat="false" ht="15" hidden="false" customHeight="false" outlineLevel="0" collapsed="false">
      <c r="A3823" s="148" t="n">
        <v>44860</v>
      </c>
      <c r="B3823" s="37" t="n">
        <v>267.909423828125</v>
      </c>
    </row>
    <row r="3824" customFormat="false" ht="15" hidden="false" customHeight="false" outlineLevel="0" collapsed="false">
      <c r="A3824" s="148" t="n">
        <v>44861</v>
      </c>
      <c r="B3824" s="37" t="n">
        <v>274.907073974609</v>
      </c>
    </row>
    <row r="3825" customFormat="false" ht="15" hidden="false" customHeight="false" outlineLevel="0" collapsed="false">
      <c r="A3825" s="148" t="n">
        <v>44862</v>
      </c>
      <c r="B3825" s="37" t="n">
        <v>274.907073974609</v>
      </c>
    </row>
    <row r="3826" customFormat="false" ht="15" hidden="false" customHeight="false" outlineLevel="0" collapsed="false">
      <c r="A3826" s="148" t="n">
        <v>44865</v>
      </c>
      <c r="B3826" s="37" t="n">
        <v>271.908081054688</v>
      </c>
    </row>
    <row r="3827" customFormat="false" ht="15" hidden="false" customHeight="false" outlineLevel="0" collapsed="false">
      <c r="A3827" s="148" t="n">
        <v>44866</v>
      </c>
      <c r="B3827" s="37" t="n">
        <v>267.909423828125</v>
      </c>
    </row>
    <row r="3828" customFormat="false" ht="15" hidden="false" customHeight="false" outlineLevel="0" collapsed="false">
      <c r="A3828" s="148" t="n">
        <v>44867</v>
      </c>
      <c r="B3828" s="37" t="n">
        <v>269.908752441406</v>
      </c>
    </row>
    <row r="3829" customFormat="false" ht="15" hidden="false" customHeight="false" outlineLevel="0" collapsed="false">
      <c r="A3829" s="148" t="n">
        <v>44868</v>
      </c>
      <c r="B3829" s="37" t="n">
        <v>264.910461425781</v>
      </c>
    </row>
    <row r="3830" customFormat="false" ht="15" hidden="false" customHeight="false" outlineLevel="0" collapsed="false">
      <c r="A3830" s="148" t="n">
        <v>44869</v>
      </c>
      <c r="B3830" s="37" t="n">
        <v>278.905731201172</v>
      </c>
    </row>
    <row r="3831" customFormat="false" ht="15" hidden="false" customHeight="false" outlineLevel="0" collapsed="false">
      <c r="A3831" s="148" t="n">
        <v>44872</v>
      </c>
      <c r="B3831" s="37" t="n">
        <v>289.902008056641</v>
      </c>
    </row>
    <row r="3832" customFormat="false" ht="15" hidden="false" customHeight="false" outlineLevel="0" collapsed="false">
      <c r="A3832" s="148" t="n">
        <v>44873</v>
      </c>
      <c r="B3832" s="37" t="n">
        <v>289.902008056641</v>
      </c>
    </row>
    <row r="3833" customFormat="false" ht="15" hidden="false" customHeight="false" outlineLevel="0" collapsed="false">
      <c r="A3833" s="148" t="n">
        <v>44874</v>
      </c>
      <c r="B3833" s="37" t="n">
        <v>309.895233154297</v>
      </c>
    </row>
    <row r="3834" customFormat="false" ht="15" hidden="false" customHeight="false" outlineLevel="0" collapsed="false">
      <c r="A3834" s="148" t="n">
        <v>44875</v>
      </c>
      <c r="B3834" s="37" t="n">
        <v>309.895233154297</v>
      </c>
    </row>
    <row r="3835" customFormat="false" ht="15" hidden="false" customHeight="false" outlineLevel="0" collapsed="false">
      <c r="A3835" s="148" t="n">
        <v>44876</v>
      </c>
      <c r="B3835" s="37" t="n">
        <v>298.898956298828</v>
      </c>
    </row>
    <row r="3836" customFormat="false" ht="15" hidden="false" customHeight="false" outlineLevel="0" collapsed="false">
      <c r="A3836" s="148" t="n">
        <v>44879</v>
      </c>
      <c r="B3836" s="37" t="n">
        <v>298.898956298828</v>
      </c>
    </row>
    <row r="3837" customFormat="false" ht="15" hidden="false" customHeight="false" outlineLevel="0" collapsed="false">
      <c r="A3837" s="148" t="n">
        <v>44880</v>
      </c>
      <c r="B3837" s="37" t="n">
        <v>308.895568847656</v>
      </c>
    </row>
    <row r="3838" customFormat="false" ht="15" hidden="false" customHeight="false" outlineLevel="0" collapsed="false">
      <c r="A3838" s="148" t="n">
        <v>44881</v>
      </c>
      <c r="B3838" s="37" t="n">
        <v>324.890197753906</v>
      </c>
    </row>
    <row r="3839" customFormat="false" ht="15" hidden="false" customHeight="false" outlineLevel="0" collapsed="false">
      <c r="A3839" s="148" t="n">
        <v>44882</v>
      </c>
      <c r="B3839" s="37" t="n">
        <v>319.891845703125</v>
      </c>
    </row>
    <row r="3840" customFormat="false" ht="15" hidden="false" customHeight="false" outlineLevel="0" collapsed="false">
      <c r="A3840" s="148" t="n">
        <v>44883</v>
      </c>
      <c r="B3840" s="37" t="n">
        <v>333.887145996094</v>
      </c>
    </row>
    <row r="3841" customFormat="false" ht="15" hidden="false" customHeight="false" outlineLevel="0" collapsed="false">
      <c r="A3841" s="148" t="n">
        <v>44886</v>
      </c>
      <c r="B3841" s="37" t="n">
        <v>359.878326416016</v>
      </c>
    </row>
    <row r="3842" customFormat="false" ht="15" hidden="false" customHeight="false" outlineLevel="0" collapsed="false">
      <c r="A3842" s="148" t="n">
        <v>44887</v>
      </c>
      <c r="B3842" s="37" t="n">
        <v>339.885101318359</v>
      </c>
    </row>
    <row r="3843" customFormat="false" ht="15" hidden="false" customHeight="false" outlineLevel="0" collapsed="false">
      <c r="A3843" s="148" t="n">
        <v>44888</v>
      </c>
      <c r="B3843" s="37" t="n">
        <v>345.883087158203</v>
      </c>
    </row>
    <row r="3844" customFormat="false" ht="15" hidden="false" customHeight="false" outlineLevel="0" collapsed="false">
      <c r="A3844" s="148" t="n">
        <v>44889</v>
      </c>
      <c r="B3844" s="37" t="n">
        <v>342.884094238281</v>
      </c>
    </row>
    <row r="3845" customFormat="false" ht="15" hidden="false" customHeight="false" outlineLevel="0" collapsed="false">
      <c r="A3845" s="148" t="n">
        <v>44890</v>
      </c>
      <c r="B3845" s="37" t="n">
        <v>329.888488769531</v>
      </c>
    </row>
    <row r="3846" customFormat="false" ht="15" hidden="false" customHeight="false" outlineLevel="0" collapsed="false">
      <c r="A3846" s="148" t="n">
        <v>44893</v>
      </c>
      <c r="B3846" s="37" t="n">
        <v>341.884429931641</v>
      </c>
    </row>
    <row r="3847" customFormat="false" ht="15" hidden="false" customHeight="false" outlineLevel="0" collapsed="false">
      <c r="A3847" s="148" t="n">
        <v>44894</v>
      </c>
      <c r="B3847" s="37" t="n">
        <v>338.885437011719</v>
      </c>
    </row>
    <row r="3848" customFormat="false" ht="15" hidden="false" customHeight="false" outlineLevel="0" collapsed="false">
      <c r="A3848" s="148" t="n">
        <v>44895</v>
      </c>
      <c r="B3848" s="37" t="n">
        <v>318.892211914063</v>
      </c>
    </row>
    <row r="3849" customFormat="false" ht="15" hidden="false" customHeight="false" outlineLevel="0" collapsed="false">
      <c r="A3849" s="148" t="n">
        <v>44896</v>
      </c>
      <c r="B3849" s="37" t="n">
        <v>328.888793945313</v>
      </c>
    </row>
    <row r="3850" customFormat="false" ht="15" hidden="false" customHeight="false" outlineLevel="0" collapsed="false">
      <c r="A3850" s="148" t="n">
        <v>44897</v>
      </c>
      <c r="B3850" s="37" t="n">
        <v>329.888488769531</v>
      </c>
    </row>
    <row r="3851" customFormat="false" ht="15" hidden="false" customHeight="false" outlineLevel="0" collapsed="false">
      <c r="A3851" s="148" t="n">
        <v>44900</v>
      </c>
      <c r="B3851" s="37" t="n">
        <v>319.891845703125</v>
      </c>
    </row>
    <row r="3852" customFormat="false" ht="15" hidden="false" customHeight="false" outlineLevel="0" collapsed="false">
      <c r="A3852" s="148" t="n">
        <v>44901</v>
      </c>
      <c r="B3852" s="37" t="n">
        <v>322.890869140625</v>
      </c>
    </row>
    <row r="3853" customFormat="false" ht="15" hidden="false" customHeight="false" outlineLevel="0" collapsed="false">
      <c r="A3853" s="148" t="n">
        <v>44902</v>
      </c>
      <c r="B3853" s="37" t="n">
        <v>318.892211914063</v>
      </c>
    </row>
    <row r="3854" customFormat="false" ht="15" hidden="false" customHeight="false" outlineLevel="0" collapsed="false">
      <c r="A3854" s="148" t="n">
        <v>44903</v>
      </c>
      <c r="B3854" s="37" t="n">
        <v>322.890869140625</v>
      </c>
    </row>
    <row r="3855" customFormat="false" ht="15" hidden="false" customHeight="false" outlineLevel="0" collapsed="false">
      <c r="A3855" s="148" t="n">
        <v>44904</v>
      </c>
      <c r="B3855" s="37" t="n">
        <v>320.891540527344</v>
      </c>
    </row>
    <row r="3856" customFormat="false" ht="15" hidden="false" customHeight="false" outlineLevel="0" collapsed="false">
      <c r="A3856" s="148" t="n">
        <v>44907</v>
      </c>
      <c r="B3856" s="37" t="n">
        <v>318.892211914063</v>
      </c>
    </row>
    <row r="3857" customFormat="false" ht="15" hidden="false" customHeight="false" outlineLevel="0" collapsed="false">
      <c r="A3857" s="148" t="n">
        <v>44908</v>
      </c>
      <c r="B3857" s="37" t="n">
        <v>319.891845703125</v>
      </c>
    </row>
    <row r="3858" customFormat="false" ht="15" hidden="false" customHeight="false" outlineLevel="0" collapsed="false">
      <c r="A3858" s="148" t="n">
        <v>44909</v>
      </c>
      <c r="B3858" s="37" t="n">
        <v>318.892211914063</v>
      </c>
    </row>
    <row r="3859" customFormat="false" ht="15" hidden="false" customHeight="false" outlineLevel="0" collapsed="false">
      <c r="A3859" s="148" t="n">
        <v>44910</v>
      </c>
      <c r="B3859" s="37" t="n">
        <v>318.892211914063</v>
      </c>
    </row>
    <row r="3860" customFormat="false" ht="15" hidden="false" customHeight="false" outlineLevel="0" collapsed="false">
      <c r="A3860" s="148" t="n">
        <v>44914</v>
      </c>
      <c r="B3860" s="37" t="n">
        <v>309.895233154297</v>
      </c>
    </row>
    <row r="3861" customFormat="false" ht="15" hidden="false" customHeight="false" outlineLevel="0" collapsed="false">
      <c r="A3861" s="148" t="n">
        <v>44915</v>
      </c>
      <c r="B3861" s="37" t="n">
        <v>304.896942138672</v>
      </c>
    </row>
    <row r="3862" customFormat="false" ht="15" hidden="false" customHeight="false" outlineLevel="0" collapsed="false">
      <c r="A3862" s="148" t="n">
        <v>44916</v>
      </c>
      <c r="B3862" s="37" t="n">
        <v>309.895233154297</v>
      </c>
    </row>
    <row r="3863" customFormat="false" ht="15" hidden="false" customHeight="false" outlineLevel="0" collapsed="false">
      <c r="A3863" s="148" t="n">
        <v>44917</v>
      </c>
      <c r="B3863" s="37" t="n">
        <v>317.892517089844</v>
      </c>
    </row>
    <row r="3864" customFormat="false" ht="15" hidden="false" customHeight="false" outlineLevel="0" collapsed="false">
      <c r="A3864" s="148" t="n">
        <v>44918</v>
      </c>
      <c r="B3864" s="37" t="n">
        <v>312.894226074219</v>
      </c>
    </row>
    <row r="3865" customFormat="false" ht="15" hidden="false" customHeight="false" outlineLevel="0" collapsed="false">
      <c r="A3865" s="148" t="n">
        <v>44923</v>
      </c>
      <c r="B3865" s="37" t="n">
        <v>318.892211914063</v>
      </c>
    </row>
    <row r="3866" customFormat="false" ht="15" hidden="false" customHeight="false" outlineLevel="0" collapsed="false">
      <c r="A3866" s="148" t="n">
        <v>44924</v>
      </c>
      <c r="B3866" s="37" t="n">
        <v>317.892517089844</v>
      </c>
    </row>
    <row r="3867" customFormat="false" ht="15" hidden="false" customHeight="false" outlineLevel="0" collapsed="false">
      <c r="A3867" s="148" t="n">
        <v>44925</v>
      </c>
      <c r="B3867" s="37" t="n">
        <v>317.892517089844</v>
      </c>
    </row>
    <row r="3868" customFormat="false" ht="15" hidden="false" customHeight="false" outlineLevel="0" collapsed="false">
      <c r="A3868" s="148" t="n">
        <v>44929</v>
      </c>
      <c r="B3868" s="37" t="n">
        <v>313.893890380859</v>
      </c>
    </row>
    <row r="3869" customFormat="false" ht="15" hidden="false" customHeight="false" outlineLevel="0" collapsed="false">
      <c r="A3869" s="148" t="n">
        <v>44930</v>
      </c>
      <c r="B3869" s="37" t="n">
        <v>314.8935546875</v>
      </c>
    </row>
    <row r="3870" customFormat="false" ht="15" hidden="false" customHeight="false" outlineLevel="0" collapsed="false">
      <c r="A3870" s="148" t="n">
        <v>44931</v>
      </c>
      <c r="B3870" s="37" t="n">
        <v>318.892211914063</v>
      </c>
    </row>
    <row r="3871" customFormat="false" ht="15" hidden="false" customHeight="false" outlineLevel="0" collapsed="false">
      <c r="A3871" s="148" t="n">
        <v>44932</v>
      </c>
      <c r="B3871" s="37" t="n">
        <v>314.8935546875</v>
      </c>
    </row>
    <row r="3872" customFormat="false" ht="15" hidden="false" customHeight="false" outlineLevel="0" collapsed="false">
      <c r="A3872" s="148" t="n">
        <v>44935</v>
      </c>
      <c r="B3872" s="37" t="n">
        <v>314.8935546875</v>
      </c>
    </row>
    <row r="3873" customFormat="false" ht="15" hidden="false" customHeight="false" outlineLevel="0" collapsed="false">
      <c r="A3873" s="148" t="n">
        <v>44936</v>
      </c>
      <c r="B3873" s="37" t="n">
        <v>314.8935546875</v>
      </c>
    </row>
    <row r="3874" customFormat="false" ht="15" hidden="false" customHeight="false" outlineLevel="0" collapsed="false">
      <c r="A3874" s="148" t="n">
        <v>44937</v>
      </c>
      <c r="B3874" s="37" t="n">
        <v>313.893890380859</v>
      </c>
    </row>
    <row r="3875" customFormat="false" ht="15" hidden="false" customHeight="false" outlineLevel="0" collapsed="false">
      <c r="A3875" s="148" t="n">
        <v>44938</v>
      </c>
      <c r="B3875" s="37" t="n">
        <v>306.896270751953</v>
      </c>
    </row>
    <row r="3876" customFormat="false" ht="15" hidden="false" customHeight="false" outlineLevel="0" collapsed="false">
      <c r="A3876" s="148" t="n">
        <v>44939</v>
      </c>
      <c r="B3876" s="37" t="n">
        <v>304.896942138672</v>
      </c>
    </row>
    <row r="3877" customFormat="false" ht="15" hidden="false" customHeight="false" outlineLevel="0" collapsed="false">
      <c r="A3877" s="148" t="n">
        <v>44942</v>
      </c>
      <c r="B3877" s="37" t="n">
        <v>312.894226074219</v>
      </c>
    </row>
    <row r="3878" customFormat="false" ht="15" hidden="false" customHeight="false" outlineLevel="0" collapsed="false">
      <c r="A3878" s="148" t="n">
        <v>44943</v>
      </c>
      <c r="B3878" s="37" t="n">
        <v>304.896942138672</v>
      </c>
    </row>
    <row r="3879" customFormat="false" ht="15" hidden="false" customHeight="false" outlineLevel="0" collapsed="false">
      <c r="A3879" s="148" t="n">
        <v>44944</v>
      </c>
      <c r="B3879" s="37" t="n">
        <v>317.892517089844</v>
      </c>
    </row>
    <row r="3880" customFormat="false" ht="15" hidden="false" customHeight="false" outlineLevel="0" collapsed="false">
      <c r="A3880" s="148" t="n">
        <v>44945</v>
      </c>
      <c r="B3880" s="37" t="n">
        <v>317.892517089844</v>
      </c>
    </row>
    <row r="3881" customFormat="false" ht="15" hidden="false" customHeight="false" outlineLevel="0" collapsed="false">
      <c r="A3881" s="148" t="n">
        <v>44946</v>
      </c>
      <c r="B3881" s="37" t="n">
        <v>294.900299072266</v>
      </c>
    </row>
    <row r="3882" customFormat="false" ht="15" hidden="false" customHeight="false" outlineLevel="0" collapsed="false">
      <c r="A3882" s="148" t="n">
        <v>44949</v>
      </c>
      <c r="B3882" s="37" t="n">
        <v>274.907073974609</v>
      </c>
    </row>
    <row r="3883" customFormat="false" ht="15" hidden="false" customHeight="false" outlineLevel="0" collapsed="false">
      <c r="A3883" s="148" t="n">
        <v>44950</v>
      </c>
      <c r="B3883" s="37" t="n">
        <v>274.907073974609</v>
      </c>
    </row>
    <row r="3884" customFormat="false" ht="15" hidden="false" customHeight="false" outlineLevel="0" collapsed="false">
      <c r="A3884" s="148" t="n">
        <v>44951</v>
      </c>
      <c r="B3884" s="37" t="n">
        <v>274.907073974609</v>
      </c>
    </row>
    <row r="3885" customFormat="false" ht="15" hidden="false" customHeight="false" outlineLevel="0" collapsed="false">
      <c r="A3885" s="148" t="n">
        <v>44952</v>
      </c>
      <c r="B3885" s="37" t="n">
        <v>279.905364990234</v>
      </c>
    </row>
    <row r="3886" customFormat="false" ht="15" hidden="false" customHeight="false" outlineLevel="0" collapsed="false">
      <c r="A3886" s="148" t="n">
        <v>44953</v>
      </c>
      <c r="B3886" s="37" t="n">
        <v>269.908752441406</v>
      </c>
    </row>
    <row r="3887" customFormat="false" ht="15" hidden="false" customHeight="false" outlineLevel="0" collapsed="false">
      <c r="A3887" s="148" t="n">
        <v>44956</v>
      </c>
      <c r="B3887" s="37" t="n">
        <v>269.908752441406</v>
      </c>
    </row>
    <row r="3888" customFormat="false" ht="15" hidden="false" customHeight="false" outlineLevel="0" collapsed="false">
      <c r="A3888" s="148" t="n">
        <v>44957</v>
      </c>
      <c r="B3888" s="37" t="n">
        <v>284.903717041016</v>
      </c>
    </row>
    <row r="3889" customFormat="false" ht="15" hidden="false" customHeight="false" outlineLevel="0" collapsed="false">
      <c r="A3889" s="148" t="n">
        <v>44958</v>
      </c>
      <c r="B3889" s="37" t="n">
        <v>274.907073974609</v>
      </c>
    </row>
    <row r="3890" customFormat="false" ht="15" hidden="false" customHeight="false" outlineLevel="0" collapsed="false">
      <c r="A3890" s="148" t="n">
        <v>44959</v>
      </c>
      <c r="B3890" s="37" t="n">
        <v>274.907073974609</v>
      </c>
    </row>
    <row r="3891" customFormat="false" ht="15" hidden="false" customHeight="false" outlineLevel="0" collapsed="false">
      <c r="A3891" s="148" t="n">
        <v>44960</v>
      </c>
      <c r="B3891" s="37" t="n">
        <v>269.908752441406</v>
      </c>
    </row>
    <row r="3892" customFormat="false" ht="15" hidden="false" customHeight="false" outlineLevel="0" collapsed="false">
      <c r="A3892" s="148" t="n">
        <v>44963</v>
      </c>
      <c r="B3892" s="37" t="n">
        <v>261.911468505859</v>
      </c>
    </row>
    <row r="3893" customFormat="false" ht="15" hidden="false" customHeight="false" outlineLevel="0" collapsed="false">
      <c r="A3893" s="148" t="n">
        <v>44964</v>
      </c>
      <c r="B3893" s="37" t="n">
        <v>264.910461425781</v>
      </c>
    </row>
    <row r="3894" customFormat="false" ht="15" hidden="false" customHeight="false" outlineLevel="0" collapsed="false">
      <c r="A3894" s="148" t="n">
        <v>44965</v>
      </c>
      <c r="B3894" s="37" t="n">
        <v>264.910461425781</v>
      </c>
    </row>
    <row r="3895" customFormat="false" ht="15" hidden="false" customHeight="false" outlineLevel="0" collapsed="false">
      <c r="A3895" s="148" t="n">
        <v>44966</v>
      </c>
      <c r="B3895" s="37" t="n">
        <v>269.908752441406</v>
      </c>
    </row>
    <row r="3896" customFormat="false" ht="15" hidden="false" customHeight="false" outlineLevel="0" collapsed="false">
      <c r="A3896" s="148" t="n">
        <v>44967</v>
      </c>
      <c r="B3896" s="37" t="n">
        <v>283.904022216797</v>
      </c>
    </row>
    <row r="3897" customFormat="false" ht="15" hidden="false" customHeight="false" outlineLevel="0" collapsed="false">
      <c r="A3897" s="148" t="n">
        <v>44970</v>
      </c>
      <c r="B3897" s="37" t="n">
        <v>273.907409667969</v>
      </c>
    </row>
    <row r="3898" customFormat="false" ht="15" hidden="false" customHeight="false" outlineLevel="0" collapsed="false">
      <c r="A3898" s="148" t="n">
        <v>44971</v>
      </c>
      <c r="B3898" s="37" t="n">
        <v>273.907409667969</v>
      </c>
    </row>
    <row r="3899" customFormat="false" ht="15" hidden="false" customHeight="false" outlineLevel="0" collapsed="false">
      <c r="A3899" s="148" t="n">
        <v>44972</v>
      </c>
      <c r="B3899" s="37" t="n">
        <v>255.913482666016</v>
      </c>
    </row>
    <row r="3900" customFormat="false" ht="15" hidden="false" customHeight="false" outlineLevel="0" collapsed="false">
      <c r="A3900" s="148" t="n">
        <v>44973</v>
      </c>
      <c r="B3900" s="37" t="n">
        <v>255.913482666016</v>
      </c>
    </row>
    <row r="3901" customFormat="false" ht="15" hidden="false" customHeight="false" outlineLevel="0" collapsed="false">
      <c r="A3901" s="148" t="n">
        <v>44974</v>
      </c>
      <c r="B3901" s="37" t="n">
        <v>266.909759521484</v>
      </c>
    </row>
    <row r="3902" customFormat="false" ht="15" hidden="false" customHeight="false" outlineLevel="0" collapsed="false">
      <c r="A3902" s="148" t="n">
        <v>44977</v>
      </c>
      <c r="B3902" s="37" t="n">
        <v>273.907409667969</v>
      </c>
    </row>
    <row r="3903" customFormat="false" ht="15" hidden="false" customHeight="false" outlineLevel="0" collapsed="false">
      <c r="A3903" s="148" t="n">
        <v>44978</v>
      </c>
      <c r="B3903" s="37" t="n">
        <v>279.905364990234</v>
      </c>
    </row>
    <row r="3904" customFormat="false" ht="15" hidden="false" customHeight="false" outlineLevel="0" collapsed="false">
      <c r="A3904" s="148" t="n">
        <v>44979</v>
      </c>
      <c r="B3904" s="37" t="n">
        <v>279.905364990234</v>
      </c>
    </row>
    <row r="3905" customFormat="false" ht="15" hidden="false" customHeight="false" outlineLevel="0" collapsed="false">
      <c r="A3905" s="148" t="n">
        <v>44980</v>
      </c>
      <c r="B3905" s="37" t="n">
        <v>279.905364990234</v>
      </c>
    </row>
    <row r="3906" customFormat="false" ht="15" hidden="false" customHeight="false" outlineLevel="0" collapsed="false">
      <c r="A3906" s="148" t="n">
        <v>44981</v>
      </c>
      <c r="B3906" s="37" t="n">
        <v>279.905364990234</v>
      </c>
    </row>
    <row r="3907" customFormat="false" ht="15" hidden="false" customHeight="false" outlineLevel="0" collapsed="false">
      <c r="A3907" s="148" t="n">
        <v>44984</v>
      </c>
      <c r="B3907" s="37" t="n">
        <v>271.908081054688</v>
      </c>
    </row>
    <row r="3908" customFormat="false" ht="15" hidden="false" customHeight="false" outlineLevel="0" collapsed="false">
      <c r="A3908" s="148" t="n">
        <v>44985</v>
      </c>
      <c r="B3908" s="37" t="n">
        <v>261.911468505859</v>
      </c>
    </row>
    <row r="3909" customFormat="false" ht="15" hidden="false" customHeight="false" outlineLevel="0" collapsed="false">
      <c r="A3909" s="148" t="n">
        <v>44986</v>
      </c>
      <c r="B3909" s="37" t="n">
        <v>273.907409667969</v>
      </c>
    </row>
    <row r="3910" customFormat="false" ht="15" hidden="false" customHeight="false" outlineLevel="0" collapsed="false">
      <c r="A3910" s="148" t="n">
        <v>44987</v>
      </c>
      <c r="B3910" s="37" t="n">
        <v>269.908752441406</v>
      </c>
    </row>
    <row r="3911" customFormat="false" ht="15" hidden="false" customHeight="false" outlineLevel="0" collapsed="false">
      <c r="A3911" s="148" t="n">
        <v>44988</v>
      </c>
      <c r="B3911" s="37" t="n">
        <v>274.907073974609</v>
      </c>
    </row>
    <row r="3912" customFormat="false" ht="15" hidden="false" customHeight="false" outlineLevel="0" collapsed="false">
      <c r="A3912" s="148" t="n">
        <v>44991</v>
      </c>
      <c r="B3912" s="37" t="n">
        <v>271.908081054688</v>
      </c>
    </row>
    <row r="3913" customFormat="false" ht="15" hidden="false" customHeight="false" outlineLevel="0" collapsed="false">
      <c r="A3913" s="148" t="n">
        <v>44992</v>
      </c>
      <c r="B3913" s="37" t="n">
        <v>273.907409667969</v>
      </c>
    </row>
    <row r="3914" customFormat="false" ht="15" hidden="false" customHeight="false" outlineLevel="0" collapsed="false">
      <c r="A3914" s="148" t="n">
        <v>44993</v>
      </c>
      <c r="B3914" s="37" t="n">
        <v>269.908752441406</v>
      </c>
    </row>
    <row r="3915" customFormat="false" ht="15" hidden="false" customHeight="false" outlineLevel="0" collapsed="false">
      <c r="A3915" s="148" t="n">
        <v>44994</v>
      </c>
      <c r="B3915" s="37" t="n">
        <v>271.908081054688</v>
      </c>
    </row>
    <row r="3916" customFormat="false" ht="15" hidden="false" customHeight="false" outlineLevel="0" collapsed="false">
      <c r="A3916" s="148" t="n">
        <v>44995</v>
      </c>
      <c r="B3916" s="37" t="n">
        <v>272.907745361328</v>
      </c>
    </row>
    <row r="3917" customFormat="false" ht="15" hidden="false" customHeight="false" outlineLevel="0" collapsed="false">
      <c r="A3917" s="148" t="n">
        <v>44998</v>
      </c>
      <c r="B3917" s="37" t="n">
        <v>272.907745361328</v>
      </c>
    </row>
    <row r="3918" customFormat="false" ht="15" hidden="false" customHeight="false" outlineLevel="0" collapsed="false">
      <c r="A3918" s="148" t="n">
        <v>44999</v>
      </c>
      <c r="B3918" s="37" t="n">
        <v>259.912139892578</v>
      </c>
    </row>
    <row r="3919" customFormat="false" ht="15" hidden="false" customHeight="false" outlineLevel="0" collapsed="false">
      <c r="A3919" s="148" t="n">
        <v>45000</v>
      </c>
      <c r="B3919" s="37" t="n">
        <v>250.915176391602</v>
      </c>
    </row>
    <row r="3920" customFormat="false" ht="15" hidden="false" customHeight="false" outlineLevel="0" collapsed="false">
      <c r="A3920" s="148" t="n">
        <v>45001</v>
      </c>
      <c r="B3920" s="37" t="n">
        <v>259.912139892578</v>
      </c>
    </row>
    <row r="3921" customFormat="false" ht="15" hidden="false" customHeight="false" outlineLevel="0" collapsed="false">
      <c r="A3921" s="148" t="n">
        <v>45002</v>
      </c>
      <c r="B3921" s="37" t="n">
        <v>259.912139892578</v>
      </c>
    </row>
    <row r="3922" customFormat="false" ht="15" hidden="false" customHeight="false" outlineLevel="0" collapsed="false">
      <c r="A3922" s="148" t="n">
        <v>45005</v>
      </c>
      <c r="B3922" s="37" t="n">
        <v>257.912811279297</v>
      </c>
    </row>
    <row r="3923" customFormat="false" ht="15" hidden="false" customHeight="false" outlineLevel="0" collapsed="false">
      <c r="A3923" s="148" t="n">
        <v>45007</v>
      </c>
      <c r="B3923" s="37" t="n">
        <v>249.91552734375</v>
      </c>
    </row>
    <row r="3924" customFormat="false" ht="15" hidden="false" customHeight="false" outlineLevel="0" collapsed="false">
      <c r="A3924" s="148" t="n">
        <v>45008</v>
      </c>
      <c r="B3924" s="37" t="n">
        <v>258.912475585938</v>
      </c>
    </row>
    <row r="3925" customFormat="false" ht="15" hidden="false" customHeight="false" outlineLevel="0" collapsed="false">
      <c r="A3925" s="148" t="n">
        <v>45009</v>
      </c>
      <c r="B3925" s="37" t="n">
        <v>270.908416748047</v>
      </c>
    </row>
    <row r="3926" customFormat="false" ht="15" hidden="false" customHeight="false" outlineLevel="0" collapsed="false">
      <c r="A3926" s="148" t="n">
        <v>45012</v>
      </c>
      <c r="B3926" s="37" t="n">
        <v>269.908752441406</v>
      </c>
    </row>
    <row r="3927" customFormat="false" ht="15" hidden="false" customHeight="false" outlineLevel="0" collapsed="false">
      <c r="A3927" s="148" t="n">
        <v>45013</v>
      </c>
      <c r="B3927" s="37" t="n">
        <v>271.908081054688</v>
      </c>
    </row>
    <row r="3928" customFormat="false" ht="15" hidden="false" customHeight="false" outlineLevel="0" collapsed="false">
      <c r="A3928" s="148" t="n">
        <v>45014</v>
      </c>
      <c r="B3928" s="37" t="n">
        <v>269.908752441406</v>
      </c>
    </row>
    <row r="3929" customFormat="false" ht="15" hidden="false" customHeight="false" outlineLevel="0" collapsed="false">
      <c r="A3929" s="148" t="n">
        <v>45015</v>
      </c>
      <c r="B3929" s="37" t="n">
        <v>267.909423828125</v>
      </c>
    </row>
    <row r="3930" customFormat="false" ht="15" hidden="false" customHeight="false" outlineLevel="0" collapsed="false">
      <c r="A3930" s="148" t="n">
        <v>45016</v>
      </c>
      <c r="B3930" s="37" t="n">
        <v>267.909423828125</v>
      </c>
    </row>
    <row r="3931" customFormat="false" ht="15" hidden="false" customHeight="false" outlineLevel="0" collapsed="false">
      <c r="A3931" s="148" t="n">
        <v>45019</v>
      </c>
      <c r="B3931" s="37" t="n">
        <v>253.914169311523</v>
      </c>
    </row>
    <row r="3932" customFormat="false" ht="15" hidden="false" customHeight="false" outlineLevel="0" collapsed="false">
      <c r="A3932" s="148" t="n">
        <v>45020</v>
      </c>
      <c r="B3932" s="37" t="n">
        <v>266.909759521484</v>
      </c>
    </row>
    <row r="3933" customFormat="false" ht="15" hidden="false" customHeight="false" outlineLevel="0" collapsed="false">
      <c r="A3933" s="148" t="n">
        <v>45021</v>
      </c>
      <c r="B3933" s="37" t="n">
        <v>266.909759521484</v>
      </c>
    </row>
    <row r="3934" customFormat="false" ht="15" hidden="false" customHeight="false" outlineLevel="0" collapsed="false">
      <c r="A3934" s="148" t="n">
        <v>45022</v>
      </c>
      <c r="B3934" s="37" t="n">
        <v>266.909759521484</v>
      </c>
    </row>
    <row r="3935" customFormat="false" ht="15" hidden="false" customHeight="false" outlineLevel="0" collapsed="false">
      <c r="A3935" s="148" t="n">
        <v>45027</v>
      </c>
      <c r="B3935" s="37" t="n">
        <v>269.908752441406</v>
      </c>
    </row>
    <row r="3936" customFormat="false" ht="15" hidden="false" customHeight="false" outlineLevel="0" collapsed="false">
      <c r="A3936" s="148" t="n">
        <v>45028</v>
      </c>
      <c r="B3936" s="37" t="n">
        <v>269.908752441406</v>
      </c>
    </row>
    <row r="3937" customFormat="false" ht="15" hidden="false" customHeight="false" outlineLevel="0" collapsed="false">
      <c r="A3937" s="148" t="n">
        <v>45029</v>
      </c>
      <c r="B3937" s="37" t="n">
        <v>268.909088134766</v>
      </c>
    </row>
    <row r="3938" customFormat="false" ht="15" hidden="false" customHeight="false" outlineLevel="0" collapsed="false">
      <c r="A3938" s="148" t="n">
        <v>45030</v>
      </c>
      <c r="B3938" s="37" t="n">
        <v>268.909088134766</v>
      </c>
    </row>
    <row r="3939" customFormat="false" ht="15" hidden="false" customHeight="false" outlineLevel="0" collapsed="false">
      <c r="A3939" s="148" t="n">
        <v>45033</v>
      </c>
      <c r="B3939" s="37" t="n">
        <v>270.908416748047</v>
      </c>
    </row>
    <row r="3940" customFormat="false" ht="15" hidden="false" customHeight="false" outlineLevel="0" collapsed="false">
      <c r="A3940" s="148" t="n">
        <v>45034</v>
      </c>
      <c r="B3940" s="37" t="n">
        <v>271.908081054688</v>
      </c>
    </row>
    <row r="3941" customFormat="false" ht="15" hidden="false" customHeight="false" outlineLevel="0" collapsed="false">
      <c r="A3941" s="148" t="n">
        <v>45035</v>
      </c>
      <c r="B3941" s="37" t="n">
        <v>272.907745361328</v>
      </c>
    </row>
    <row r="3942" customFormat="false" ht="15" hidden="false" customHeight="false" outlineLevel="0" collapsed="false">
      <c r="A3942" s="148" t="n">
        <v>45036</v>
      </c>
      <c r="B3942" s="37" t="n">
        <v>269.908752441406</v>
      </c>
    </row>
    <row r="3943" customFormat="false" ht="15" hidden="false" customHeight="false" outlineLevel="0" collapsed="false">
      <c r="A3943" s="148" t="n">
        <v>45037</v>
      </c>
      <c r="B3943" s="37" t="n">
        <v>279.905364990234</v>
      </c>
    </row>
    <row r="3944" customFormat="false" ht="15" hidden="false" customHeight="false" outlineLevel="0" collapsed="false">
      <c r="A3944" s="148" t="n">
        <v>45040</v>
      </c>
      <c r="B3944" s="37" t="n">
        <v>274.907073974609</v>
      </c>
    </row>
    <row r="3945" customFormat="false" ht="15" hidden="false" customHeight="false" outlineLevel="0" collapsed="false">
      <c r="A3945" s="148" t="n">
        <v>45041</v>
      </c>
      <c r="B3945" s="37" t="n">
        <v>279.905364990234</v>
      </c>
    </row>
    <row r="3946" customFormat="false" ht="15" hidden="false" customHeight="false" outlineLevel="0" collapsed="false">
      <c r="A3946" s="148" t="n">
        <v>45042</v>
      </c>
      <c r="B3946" s="37" t="n">
        <v>273.907409667969</v>
      </c>
    </row>
    <row r="3947" customFormat="false" ht="15" hidden="false" customHeight="false" outlineLevel="0" collapsed="false">
      <c r="A3947" s="148" t="n">
        <v>45044</v>
      </c>
      <c r="B3947" s="37" t="n">
        <v>269.908752441406</v>
      </c>
    </row>
    <row r="3948" customFormat="false" ht="15" hidden="false" customHeight="false" outlineLevel="0" collapsed="false">
      <c r="A3948" s="148" t="n">
        <v>45048</v>
      </c>
      <c r="B3948" s="37" t="n">
        <v>279.905364990234</v>
      </c>
    </row>
    <row r="3949" customFormat="false" ht="15" hidden="false" customHeight="false" outlineLevel="0" collapsed="false">
      <c r="A3949" s="148" t="n">
        <v>45049</v>
      </c>
      <c r="B3949" s="37" t="n">
        <v>299.898620605469</v>
      </c>
    </row>
    <row r="3950" customFormat="false" ht="15" hidden="false" customHeight="false" outlineLevel="0" collapsed="false">
      <c r="A3950" s="148" t="n">
        <v>45050</v>
      </c>
      <c r="B3950" s="37" t="n">
        <v>282.904388427734</v>
      </c>
    </row>
    <row r="3951" customFormat="false" ht="15" hidden="false" customHeight="false" outlineLevel="0" collapsed="false">
      <c r="A3951" s="148" t="n">
        <v>45051</v>
      </c>
      <c r="B3951" s="37" t="n">
        <v>298.898956298828</v>
      </c>
    </row>
    <row r="3952" customFormat="false" ht="15" hidden="false" customHeight="false" outlineLevel="0" collapsed="false">
      <c r="A3952" s="148" t="n">
        <v>45054</v>
      </c>
      <c r="B3952" s="37" t="n">
        <v>289.902008056641</v>
      </c>
    </row>
    <row r="3953" customFormat="false" ht="15" hidden="false" customHeight="false" outlineLevel="0" collapsed="false">
      <c r="A3953" s="148" t="n">
        <v>45055</v>
      </c>
      <c r="B3953" s="37" t="n">
        <v>283.904022216797</v>
      </c>
    </row>
    <row r="3954" customFormat="false" ht="15" hidden="false" customHeight="false" outlineLevel="0" collapsed="false">
      <c r="A3954" s="148" t="n">
        <v>45056</v>
      </c>
      <c r="B3954" s="37" t="n">
        <v>278.905731201172</v>
      </c>
    </row>
    <row r="3955" customFormat="false" ht="15" hidden="false" customHeight="false" outlineLevel="0" collapsed="false">
      <c r="A3955" s="148" t="n">
        <v>45057</v>
      </c>
      <c r="B3955" s="37" t="n">
        <v>284.903717041016</v>
      </c>
    </row>
    <row r="3956" customFormat="false" ht="15" hidden="false" customHeight="false" outlineLevel="0" collapsed="false">
      <c r="A3956" s="148" t="n">
        <v>45058</v>
      </c>
      <c r="B3956" s="37" t="n">
        <v>284.903717041016</v>
      </c>
    </row>
    <row r="3957" customFormat="false" ht="15" hidden="false" customHeight="false" outlineLevel="0" collapsed="false">
      <c r="A3957" s="148" t="n">
        <v>45061</v>
      </c>
      <c r="B3957" s="37" t="n">
        <v>295.899993896484</v>
      </c>
    </row>
    <row r="3958" customFormat="false" ht="15" hidden="false" customHeight="false" outlineLevel="0" collapsed="false">
      <c r="A3958" s="148" t="n">
        <v>45062</v>
      </c>
      <c r="B3958" s="37" t="n">
        <v>314.8935546875</v>
      </c>
    </row>
    <row r="3959" customFormat="false" ht="15" hidden="false" customHeight="false" outlineLevel="0" collapsed="false">
      <c r="A3959" s="148" t="n">
        <v>45063</v>
      </c>
      <c r="B3959" s="37" t="n">
        <v>324.890197753906</v>
      </c>
    </row>
    <row r="3960" customFormat="false" ht="15" hidden="false" customHeight="false" outlineLevel="0" collapsed="false">
      <c r="A3960" s="148" t="n">
        <v>45064</v>
      </c>
      <c r="B3960" s="37" t="n">
        <v>311.894561767578</v>
      </c>
    </row>
    <row r="3961" customFormat="false" ht="15" hidden="false" customHeight="false" outlineLevel="0" collapsed="false">
      <c r="A3961" s="148" t="n">
        <v>45065</v>
      </c>
      <c r="B3961" s="37" t="n">
        <v>311.894561767578</v>
      </c>
    </row>
    <row r="3962" customFormat="false" ht="15" hidden="false" customHeight="false" outlineLevel="0" collapsed="false">
      <c r="A3962" s="148" t="n">
        <v>45068</v>
      </c>
      <c r="B3962" s="37" t="n">
        <v>312.894226074219</v>
      </c>
    </row>
    <row r="3963" customFormat="false" ht="15" hidden="false" customHeight="false" outlineLevel="0" collapsed="false">
      <c r="A3963" s="148" t="n">
        <v>45069</v>
      </c>
      <c r="B3963" s="37" t="n">
        <v>313.893890380859</v>
      </c>
    </row>
    <row r="3964" customFormat="false" ht="15" hidden="false" customHeight="false" outlineLevel="0" collapsed="false">
      <c r="A3964" s="148" t="n">
        <v>45070</v>
      </c>
      <c r="B3964" s="37" t="n">
        <v>326.889526367188</v>
      </c>
    </row>
    <row r="3965" customFormat="false" ht="15" hidden="false" customHeight="false" outlineLevel="0" collapsed="false">
      <c r="A3965" s="148" t="n">
        <v>45071</v>
      </c>
      <c r="B3965" s="37" t="n">
        <v>329.888488769531</v>
      </c>
    </row>
    <row r="3966" customFormat="false" ht="15" hidden="false" customHeight="false" outlineLevel="0" collapsed="false">
      <c r="A3966" s="148" t="n">
        <v>45072</v>
      </c>
      <c r="B3966" s="37" t="n">
        <v>329.888488769531</v>
      </c>
    </row>
    <row r="3967" customFormat="false" ht="15" hidden="false" customHeight="false" outlineLevel="0" collapsed="false">
      <c r="A3967" s="148" t="n">
        <v>45075</v>
      </c>
      <c r="B3967" s="37" t="n">
        <v>339.885101318359</v>
      </c>
    </row>
    <row r="3968" customFormat="false" ht="15" hidden="false" customHeight="false" outlineLevel="0" collapsed="false">
      <c r="A3968" s="148" t="n">
        <v>45076</v>
      </c>
      <c r="B3968" s="37" t="n">
        <v>319.891845703125</v>
      </c>
    </row>
    <row r="3969" customFormat="false" ht="15" hidden="false" customHeight="false" outlineLevel="0" collapsed="false">
      <c r="A3969" s="148" t="n">
        <v>45077</v>
      </c>
      <c r="B3969" s="37" t="n">
        <v>309.895233154297</v>
      </c>
    </row>
    <row r="3970" customFormat="false" ht="15" hidden="false" customHeight="false" outlineLevel="0" collapsed="false">
      <c r="A3970" s="148" t="n">
        <v>45078</v>
      </c>
      <c r="B3970" s="37" t="n">
        <v>314.8935546875</v>
      </c>
    </row>
    <row r="3971" customFormat="false" ht="15" hidden="false" customHeight="false" outlineLevel="0" collapsed="false">
      <c r="A3971" s="148" t="n">
        <v>45079</v>
      </c>
      <c r="B3971" s="37" t="n">
        <v>324.890197753906</v>
      </c>
    </row>
    <row r="3972" customFormat="false" ht="15" hidden="false" customHeight="false" outlineLevel="0" collapsed="false">
      <c r="A3972" s="148" t="n">
        <v>45082</v>
      </c>
      <c r="B3972" s="37" t="n">
        <v>324.890197753906</v>
      </c>
    </row>
    <row r="3973" customFormat="false" ht="15" hidden="false" customHeight="false" outlineLevel="0" collapsed="false">
      <c r="A3973" s="148" t="n">
        <v>45083</v>
      </c>
      <c r="B3973" s="37" t="n">
        <v>327.88916015625</v>
      </c>
    </row>
    <row r="3974" customFormat="false" ht="15" hidden="false" customHeight="false" outlineLevel="0" collapsed="false">
      <c r="A3974" s="148" t="n">
        <v>45084</v>
      </c>
      <c r="B3974" s="37" t="n">
        <v>332.887451171875</v>
      </c>
    </row>
    <row r="3975" customFormat="false" ht="15" hidden="false" customHeight="false" outlineLevel="0" collapsed="false">
      <c r="A3975" s="148" t="n">
        <v>45085</v>
      </c>
      <c r="B3975" s="37" t="n">
        <v>322.890869140625</v>
      </c>
    </row>
    <row r="3976" customFormat="false" ht="15" hidden="false" customHeight="false" outlineLevel="0" collapsed="false">
      <c r="A3976" s="148" t="n">
        <v>45086</v>
      </c>
      <c r="B3976" s="37" t="n">
        <v>326.889526367188</v>
      </c>
    </row>
    <row r="3977" customFormat="false" ht="15" hidden="false" customHeight="false" outlineLevel="0" collapsed="false">
      <c r="A3977" s="148" t="n">
        <v>45089</v>
      </c>
      <c r="B3977" s="37" t="n">
        <v>318.892211914063</v>
      </c>
    </row>
    <row r="3978" customFormat="false" ht="15" hidden="false" customHeight="false" outlineLevel="0" collapsed="false">
      <c r="A3978" s="148" t="n">
        <v>45090</v>
      </c>
      <c r="B3978" s="37" t="n">
        <v>326.889526367188</v>
      </c>
    </row>
    <row r="3979" customFormat="false" ht="15" hidden="false" customHeight="false" outlineLevel="0" collapsed="false">
      <c r="A3979" s="148" t="n">
        <v>45091</v>
      </c>
      <c r="B3979" s="37" t="n">
        <v>328.888793945313</v>
      </c>
    </row>
    <row r="3980" customFormat="false" ht="15" hidden="false" customHeight="false" outlineLevel="0" collapsed="false">
      <c r="A3980" s="148" t="n">
        <v>45092</v>
      </c>
      <c r="B3980" s="37" t="n">
        <v>309.895233154297</v>
      </c>
    </row>
    <row r="3981" customFormat="false" ht="15" hidden="false" customHeight="false" outlineLevel="0" collapsed="false">
      <c r="A3981" s="148" t="n">
        <v>45096</v>
      </c>
      <c r="B3981" s="37" t="n">
        <v>309.895233154297</v>
      </c>
    </row>
    <row r="3982" customFormat="false" ht="15" hidden="false" customHeight="false" outlineLevel="0" collapsed="false">
      <c r="A3982" s="148" t="n">
        <v>45097</v>
      </c>
      <c r="B3982" s="37" t="n">
        <v>316.892883300781</v>
      </c>
    </row>
    <row r="3983" customFormat="false" ht="15" hidden="false" customHeight="false" outlineLevel="0" collapsed="false">
      <c r="A3983" s="148" t="n">
        <v>45098</v>
      </c>
      <c r="B3983" s="37" t="n">
        <v>329.888488769531</v>
      </c>
    </row>
    <row r="3984" customFormat="false" ht="15" hidden="false" customHeight="false" outlineLevel="0" collapsed="false">
      <c r="A3984" s="148" t="n">
        <v>45099</v>
      </c>
      <c r="B3984" s="37" t="n">
        <v>329.888488769531</v>
      </c>
    </row>
    <row r="3985" customFormat="false" ht="15" hidden="false" customHeight="false" outlineLevel="0" collapsed="false">
      <c r="A3985" s="148" t="n">
        <v>45100</v>
      </c>
      <c r="B3985" s="37" t="n">
        <v>314.8935546875</v>
      </c>
    </row>
    <row r="3986" customFormat="false" ht="15" hidden="false" customHeight="false" outlineLevel="0" collapsed="false">
      <c r="A3986" s="148" t="n">
        <v>45103</v>
      </c>
      <c r="B3986" s="37" t="n">
        <v>332.887451171875</v>
      </c>
    </row>
    <row r="3987" customFormat="false" ht="15" hidden="false" customHeight="false" outlineLevel="0" collapsed="false">
      <c r="A3987" s="148" t="n">
        <v>45104</v>
      </c>
      <c r="B3987" s="37" t="n">
        <v>314.8935546875</v>
      </c>
    </row>
    <row r="3988" customFormat="false" ht="15" hidden="false" customHeight="false" outlineLevel="0" collapsed="false">
      <c r="A3988" s="148" t="n">
        <v>45105</v>
      </c>
      <c r="B3988" s="37" t="n">
        <v>314.8935546875</v>
      </c>
    </row>
    <row r="3989" customFormat="false" ht="15" hidden="false" customHeight="false" outlineLevel="0" collapsed="false">
      <c r="A3989" s="148" t="n">
        <v>45106</v>
      </c>
      <c r="B3989" s="37" t="n">
        <v>319.891845703125</v>
      </c>
    </row>
    <row r="3990" customFormat="false" ht="15" hidden="false" customHeight="false" outlineLevel="0" collapsed="false">
      <c r="A3990" s="148" t="n">
        <v>45107</v>
      </c>
      <c r="B3990" s="37" t="n">
        <v>328.888793945313</v>
      </c>
    </row>
    <row r="3991" customFormat="false" ht="15" hidden="false" customHeight="false" outlineLevel="0" collapsed="false">
      <c r="A3991" s="148" t="n">
        <v>45110</v>
      </c>
      <c r="B3991" s="37" t="n">
        <v>319.891845703125</v>
      </c>
    </row>
    <row r="3992" customFormat="false" ht="15" hidden="false" customHeight="false" outlineLevel="0" collapsed="false">
      <c r="A3992" s="148" t="n">
        <v>45111</v>
      </c>
      <c r="B3992" s="37" t="n">
        <v>327.88916015625</v>
      </c>
    </row>
    <row r="3993" customFormat="false" ht="15" hidden="false" customHeight="false" outlineLevel="0" collapsed="false">
      <c r="A3993" s="148" t="n">
        <v>45112</v>
      </c>
      <c r="B3993" s="37" t="n">
        <v>319.891845703125</v>
      </c>
    </row>
    <row r="3994" customFormat="false" ht="15" hidden="false" customHeight="false" outlineLevel="0" collapsed="false">
      <c r="A3994" s="148" t="n">
        <v>45113</v>
      </c>
      <c r="B3994" s="37" t="n">
        <v>319.891845703125</v>
      </c>
    </row>
    <row r="3995" customFormat="false" ht="15" hidden="false" customHeight="false" outlineLevel="0" collapsed="false">
      <c r="A3995" s="148" t="n">
        <v>45114</v>
      </c>
      <c r="B3995" s="37" t="n">
        <v>324.890197753906</v>
      </c>
    </row>
    <row r="3996" customFormat="false" ht="15" hidden="false" customHeight="false" outlineLevel="0" collapsed="false">
      <c r="A3996" s="148" t="n">
        <v>45117</v>
      </c>
      <c r="B3996" s="37" t="n">
        <v>320.891540527344</v>
      </c>
    </row>
    <row r="3997" customFormat="false" ht="15" hidden="false" customHeight="false" outlineLevel="0" collapsed="false">
      <c r="A3997" s="148" t="n">
        <v>45118</v>
      </c>
      <c r="B3997" s="37" t="n">
        <v>319.891845703125</v>
      </c>
    </row>
    <row r="3998" customFormat="false" ht="15" hidden="false" customHeight="false" outlineLevel="0" collapsed="false">
      <c r="A3998" s="148" t="n">
        <v>45119</v>
      </c>
      <c r="B3998" s="37" t="n">
        <v>319.891845703125</v>
      </c>
    </row>
    <row r="3999" customFormat="false" ht="15" hidden="false" customHeight="false" outlineLevel="0" collapsed="false">
      <c r="A3999" s="148" t="n">
        <v>45120</v>
      </c>
      <c r="B3999" s="37" t="n">
        <v>315.893218994141</v>
      </c>
    </row>
    <row r="4000" customFormat="false" ht="15" hidden="false" customHeight="false" outlineLevel="0" collapsed="false">
      <c r="A4000" s="148" t="n">
        <v>45121</v>
      </c>
      <c r="B4000" s="37" t="n">
        <v>327.88916015625</v>
      </c>
    </row>
    <row r="4001" customFormat="false" ht="15" hidden="false" customHeight="false" outlineLevel="0" collapsed="false">
      <c r="A4001" s="148" t="n">
        <v>45124</v>
      </c>
      <c r="B4001" s="37" t="n">
        <v>315.893218994141</v>
      </c>
    </row>
    <row r="4002" customFormat="false" ht="15" hidden="false" customHeight="false" outlineLevel="0" collapsed="false">
      <c r="A4002" s="148" t="n">
        <v>45125</v>
      </c>
      <c r="B4002" s="37" t="n">
        <v>314.8935546875</v>
      </c>
    </row>
    <row r="4003" customFormat="false" ht="15" hidden="false" customHeight="false" outlineLevel="0" collapsed="false">
      <c r="A4003" s="148" t="n">
        <v>45126</v>
      </c>
      <c r="B4003" s="37" t="n">
        <v>314.8935546875</v>
      </c>
    </row>
    <row r="4004" customFormat="false" ht="15" hidden="false" customHeight="false" outlineLevel="0" collapsed="false">
      <c r="A4004" s="148" t="n">
        <v>45127</v>
      </c>
      <c r="B4004" s="37" t="n">
        <v>326.889526367188</v>
      </c>
    </row>
    <row r="4005" customFormat="false" ht="15" hidden="false" customHeight="false" outlineLevel="0" collapsed="false">
      <c r="A4005" s="148" t="n">
        <v>45128</v>
      </c>
      <c r="B4005" s="37" t="n">
        <v>326.889526367188</v>
      </c>
    </row>
    <row r="4006" customFormat="false" ht="15" hidden="false" customHeight="false" outlineLevel="0" collapsed="false">
      <c r="A4006" s="148" t="n">
        <v>45131</v>
      </c>
      <c r="B4006" s="37" t="n">
        <v>327.88916015625</v>
      </c>
    </row>
    <row r="4007" customFormat="false" ht="15" hidden="false" customHeight="false" outlineLevel="0" collapsed="false">
      <c r="A4007" s="148" t="n">
        <v>45132</v>
      </c>
      <c r="B4007" s="37" t="n">
        <v>327.88916015625</v>
      </c>
    </row>
    <row r="4008" customFormat="false" ht="15" hidden="false" customHeight="false" outlineLevel="0" collapsed="false">
      <c r="A4008" s="148" t="n">
        <v>45133</v>
      </c>
      <c r="B4008" s="37" t="n">
        <v>327.88916015625</v>
      </c>
    </row>
    <row r="4009" customFormat="false" ht="15" hidden="false" customHeight="false" outlineLevel="0" collapsed="false">
      <c r="A4009" s="148" t="n">
        <v>45134</v>
      </c>
      <c r="B4009" s="37" t="n">
        <v>319.891845703125</v>
      </c>
    </row>
    <row r="4010" customFormat="false" ht="15" hidden="false" customHeight="false" outlineLevel="0" collapsed="false">
      <c r="A4010" s="148" t="n">
        <v>45135</v>
      </c>
      <c r="B4010" s="37" t="n">
        <v>324.890197753906</v>
      </c>
    </row>
    <row r="4011" customFormat="false" ht="15" hidden="false" customHeight="false" outlineLevel="0" collapsed="false">
      <c r="A4011" s="148" t="n">
        <v>45138</v>
      </c>
      <c r="B4011" s="37" t="n">
        <v>324.890197753906</v>
      </c>
    </row>
    <row r="4012" customFormat="false" ht="15" hidden="false" customHeight="false" outlineLevel="0" collapsed="false">
      <c r="A4012" s="148" t="n">
        <v>45139</v>
      </c>
      <c r="B4012" s="37" t="n">
        <v>324.890197753906</v>
      </c>
    </row>
    <row r="4013" customFormat="false" ht="15" hidden="false" customHeight="false" outlineLevel="0" collapsed="false">
      <c r="A4013" s="148" t="n">
        <v>45140</v>
      </c>
      <c r="B4013" s="37" t="n">
        <v>327.88916015625</v>
      </c>
    </row>
    <row r="4014" customFormat="false" ht="15" hidden="false" customHeight="false" outlineLevel="0" collapsed="false">
      <c r="A4014" s="148" t="n">
        <v>45141</v>
      </c>
      <c r="B4014" s="37" t="n">
        <v>327.88916015625</v>
      </c>
    </row>
    <row r="4015" customFormat="false" ht="15" hidden="false" customHeight="false" outlineLevel="0" collapsed="false">
      <c r="A4015" s="148" t="n">
        <v>45142</v>
      </c>
      <c r="B4015" s="37" t="n">
        <v>324.890197753906</v>
      </c>
    </row>
    <row r="4016" customFormat="false" ht="15" hidden="false" customHeight="false" outlineLevel="0" collapsed="false">
      <c r="A4016" s="148" t="n">
        <v>45145</v>
      </c>
      <c r="B4016" s="37" t="n">
        <v>333.887145996094</v>
      </c>
    </row>
    <row r="4017" customFormat="false" ht="15" hidden="false" customHeight="false" outlineLevel="0" collapsed="false">
      <c r="A4017" s="148" t="n">
        <v>45146</v>
      </c>
      <c r="B4017" s="37" t="n">
        <v>330.888122558594</v>
      </c>
    </row>
    <row r="4018" customFormat="false" ht="15" hidden="false" customHeight="false" outlineLevel="0" collapsed="false">
      <c r="A4018" s="148" t="n">
        <v>45148</v>
      </c>
      <c r="B4018" s="37" t="n">
        <v>346.882751464844</v>
      </c>
    </row>
    <row r="4019" customFormat="false" ht="15" hidden="false" customHeight="false" outlineLevel="0" collapsed="false">
      <c r="A4019" s="148" t="n">
        <v>45149</v>
      </c>
      <c r="B4019" s="37" t="n">
        <v>354.880035400391</v>
      </c>
    </row>
    <row r="4020" customFormat="false" ht="15" hidden="false" customHeight="false" outlineLevel="0" collapsed="false">
      <c r="A4020" s="148" t="n">
        <v>45152</v>
      </c>
      <c r="B4020" s="37" t="n">
        <v>352.880706787109</v>
      </c>
    </row>
    <row r="4021" customFormat="false" ht="15" hidden="false" customHeight="false" outlineLevel="0" collapsed="false">
      <c r="A4021" s="148" t="n">
        <v>45153</v>
      </c>
      <c r="B4021" s="37" t="n">
        <v>355.879699707031</v>
      </c>
    </row>
    <row r="4022" customFormat="false" ht="15" hidden="false" customHeight="false" outlineLevel="0" collapsed="false">
      <c r="A4022" s="148" t="n">
        <v>45154</v>
      </c>
      <c r="B4022" s="37" t="n">
        <v>374.873260498047</v>
      </c>
    </row>
    <row r="4023" customFormat="false" ht="15" hidden="false" customHeight="false" outlineLevel="0" collapsed="false">
      <c r="A4023" s="148" t="n">
        <v>45155</v>
      </c>
      <c r="B4023" s="37" t="n">
        <v>366.876007080078</v>
      </c>
    </row>
    <row r="4024" customFormat="false" ht="15" hidden="false" customHeight="false" outlineLevel="0" collapsed="false">
      <c r="A4024" s="148" t="n">
        <v>45156</v>
      </c>
      <c r="B4024" s="37" t="n">
        <v>361.877655029297</v>
      </c>
    </row>
    <row r="4025" customFormat="false" ht="15" hidden="false" customHeight="false" outlineLevel="0" collapsed="false">
      <c r="A4025" s="148" t="n">
        <v>45159</v>
      </c>
      <c r="B4025" s="37" t="n">
        <v>361.877655029297</v>
      </c>
    </row>
    <row r="4026" customFormat="false" ht="15" hidden="false" customHeight="false" outlineLevel="0" collapsed="false">
      <c r="A4026" s="148" t="n">
        <v>45160</v>
      </c>
      <c r="B4026" s="37" t="n">
        <v>365.876312255859</v>
      </c>
    </row>
    <row r="4027" customFormat="false" ht="15" hidden="false" customHeight="false" outlineLevel="0" collapsed="false">
      <c r="A4027" s="148" t="n">
        <v>45161</v>
      </c>
      <c r="B4027" s="37" t="n">
        <v>372.873931884766</v>
      </c>
    </row>
    <row r="4028" customFormat="false" ht="15" hidden="false" customHeight="false" outlineLevel="0" collapsed="false">
      <c r="A4028" s="148" t="n">
        <v>45162</v>
      </c>
      <c r="B4028" s="37" t="n">
        <v>404.863159179688</v>
      </c>
    </row>
    <row r="4029" customFormat="false" ht="15" hidden="false" customHeight="false" outlineLevel="0" collapsed="false">
      <c r="A4029" s="148" t="n">
        <v>45163</v>
      </c>
      <c r="B4029" s="37" t="n">
        <v>419.858062744141</v>
      </c>
    </row>
    <row r="4030" customFormat="false" ht="15" hidden="false" customHeight="false" outlineLevel="0" collapsed="false">
      <c r="A4030" s="148" t="n">
        <v>45166</v>
      </c>
      <c r="B4030" s="37" t="n">
        <v>419.858062744141</v>
      </c>
    </row>
    <row r="4031" customFormat="false" ht="15" hidden="false" customHeight="false" outlineLevel="0" collapsed="false">
      <c r="A4031" s="148" t="n">
        <v>45167</v>
      </c>
      <c r="B4031" s="37" t="n">
        <v>424.856384277344</v>
      </c>
    </row>
    <row r="4032" customFormat="false" ht="15" hidden="false" customHeight="false" outlineLevel="0" collapsed="false">
      <c r="A4032" s="148" t="n">
        <v>45168</v>
      </c>
      <c r="B4032" s="37" t="n">
        <v>434.852996826172</v>
      </c>
    </row>
    <row r="4033" customFormat="false" ht="15" hidden="false" customHeight="false" outlineLevel="0" collapsed="false">
      <c r="A4033" s="148" t="n">
        <v>45169</v>
      </c>
      <c r="B4033" s="37" t="n">
        <v>430.854339599609</v>
      </c>
    </row>
    <row r="4034" customFormat="false" ht="15" hidden="false" customHeight="false" outlineLevel="0" collapsed="false">
      <c r="A4034" s="148" t="n">
        <v>45170</v>
      </c>
      <c r="B4034" s="37" t="n">
        <v>437.851989746094</v>
      </c>
    </row>
    <row r="4035" customFormat="false" ht="15" hidden="false" customHeight="false" outlineLevel="0" collapsed="false">
      <c r="A4035" s="148" t="n">
        <v>45173</v>
      </c>
      <c r="B4035" s="37" t="n">
        <v>423.856719970703</v>
      </c>
    </row>
    <row r="4036" customFormat="false" ht="15" hidden="false" customHeight="false" outlineLevel="0" collapsed="false">
      <c r="A4036" s="148" t="n">
        <v>45174</v>
      </c>
      <c r="B4036" s="37" t="n">
        <v>414.859741210938</v>
      </c>
    </row>
    <row r="4037" customFormat="false" ht="15" hidden="false" customHeight="false" outlineLevel="0" collapsed="false">
      <c r="A4037" s="148" t="n">
        <v>45175</v>
      </c>
      <c r="B4037" s="37" t="n">
        <v>427.855377197266</v>
      </c>
    </row>
    <row r="4038" customFormat="false" ht="15" hidden="false" customHeight="false" outlineLevel="0" collapsed="false">
      <c r="A4038" s="148" t="n">
        <v>45176</v>
      </c>
      <c r="B4038" s="37" t="n">
        <v>427.855377197266</v>
      </c>
    </row>
    <row r="4039" customFormat="false" ht="15" hidden="false" customHeight="false" outlineLevel="0" collapsed="false">
      <c r="A4039" s="148" t="n">
        <v>45177</v>
      </c>
      <c r="B4039" s="37" t="n">
        <v>427.855377197266</v>
      </c>
    </row>
    <row r="4040" customFormat="false" ht="15" hidden="false" customHeight="false" outlineLevel="0" collapsed="false">
      <c r="A4040" s="148" t="n">
        <v>45180</v>
      </c>
      <c r="B4040" s="37" t="n">
        <v>423.856719970703</v>
      </c>
    </row>
    <row r="4041" customFormat="false" ht="15" hidden="false" customHeight="false" outlineLevel="0" collapsed="false">
      <c r="A4041" s="148" t="n">
        <v>45181</v>
      </c>
      <c r="B4041" s="37" t="n">
        <v>424.856384277344</v>
      </c>
    </row>
    <row r="4042" customFormat="false" ht="15" hidden="false" customHeight="false" outlineLevel="0" collapsed="false">
      <c r="A4042" s="148" t="n">
        <v>45182</v>
      </c>
      <c r="B4042" s="37" t="n">
        <v>412.860412597656</v>
      </c>
    </row>
    <row r="4043" customFormat="false" ht="15" hidden="false" customHeight="false" outlineLevel="0" collapsed="false">
      <c r="A4043" s="148" t="n">
        <v>45183</v>
      </c>
      <c r="B4043" s="37" t="n">
        <v>424.856384277344</v>
      </c>
    </row>
    <row r="4044" customFormat="false" ht="15" hidden="false" customHeight="false" outlineLevel="0" collapsed="false">
      <c r="A4044" s="148" t="n">
        <v>45184</v>
      </c>
      <c r="B4044" s="37" t="n">
        <v>424.856384277344</v>
      </c>
    </row>
    <row r="4045" customFormat="false" ht="15" hidden="false" customHeight="false" outlineLevel="0" collapsed="false">
      <c r="A4045" s="148" t="n">
        <v>45187</v>
      </c>
      <c r="B4045" s="37" t="n">
        <v>415.859436035156</v>
      </c>
    </row>
    <row r="4046" customFormat="false" ht="15" hidden="false" customHeight="false" outlineLevel="0" collapsed="false">
      <c r="A4046" s="148" t="n">
        <v>45188</v>
      </c>
      <c r="B4046" s="37" t="n">
        <v>424.856384277344</v>
      </c>
    </row>
    <row r="4047" customFormat="false" ht="15" hidden="false" customHeight="false" outlineLevel="0" collapsed="false">
      <c r="A4047" s="148" t="n">
        <v>45189</v>
      </c>
      <c r="B4047" s="37" t="n">
        <v>419.858062744141</v>
      </c>
    </row>
    <row r="4048" customFormat="false" ht="15" hidden="false" customHeight="false" outlineLevel="0" collapsed="false">
      <c r="A4048" s="148" t="n">
        <v>45190</v>
      </c>
      <c r="B4048" s="37" t="n">
        <v>419.858062744141</v>
      </c>
    </row>
    <row r="4049" customFormat="false" ht="15" hidden="false" customHeight="false" outlineLevel="0" collapsed="false">
      <c r="A4049" s="148" t="n">
        <v>45191</v>
      </c>
      <c r="B4049" s="37" t="n">
        <v>419.858062744141</v>
      </c>
    </row>
    <row r="4050" customFormat="false" ht="15" hidden="false" customHeight="false" outlineLevel="0" collapsed="false">
      <c r="A4050" s="148" t="n">
        <v>45195</v>
      </c>
      <c r="B4050" s="37" t="n">
        <v>419.858062744141</v>
      </c>
    </row>
    <row r="4051" customFormat="false" ht="15" hidden="false" customHeight="false" outlineLevel="0" collapsed="false">
      <c r="A4051" s="148" t="n">
        <v>45196</v>
      </c>
      <c r="B4051" s="37" t="n">
        <v>419.858062744141</v>
      </c>
    </row>
    <row r="4052" customFormat="false" ht="15" hidden="false" customHeight="false" outlineLevel="0" collapsed="false">
      <c r="A4052" s="148" t="n">
        <v>45197</v>
      </c>
      <c r="B4052" s="37" t="n">
        <v>428.855041503906</v>
      </c>
    </row>
    <row r="4053" customFormat="false" ht="15" hidden="false" customHeight="false" outlineLevel="0" collapsed="false">
      <c r="A4053" s="148" t="n">
        <v>45198</v>
      </c>
      <c r="B4053" s="37" t="n">
        <v>416.859069824219</v>
      </c>
    </row>
    <row r="4054" customFormat="false" ht="15" hidden="false" customHeight="false" outlineLevel="0" collapsed="false">
      <c r="A4054" s="148" t="n">
        <v>45201</v>
      </c>
      <c r="B4054" s="37" t="n">
        <v>454.846221923828</v>
      </c>
    </row>
    <row r="4055" customFormat="false" ht="15" hidden="false" customHeight="false" outlineLevel="0" collapsed="false">
      <c r="A4055" s="148" t="n">
        <v>45202</v>
      </c>
      <c r="B4055" s="37" t="n">
        <v>454.846221923828</v>
      </c>
    </row>
    <row r="4056" customFormat="false" ht="15" hidden="false" customHeight="false" outlineLevel="0" collapsed="false">
      <c r="A4056" s="148" t="n">
        <v>45203</v>
      </c>
      <c r="B4056" s="37" t="n">
        <v>469.841186523438</v>
      </c>
    </row>
    <row r="4057" customFormat="false" ht="15" hidden="false" customHeight="false" outlineLevel="0" collapsed="false">
      <c r="A4057" s="148" t="n">
        <v>45204</v>
      </c>
      <c r="B4057" s="37" t="n">
        <v>494.832702636719</v>
      </c>
    </row>
    <row r="4058" customFormat="false" ht="15" hidden="false" customHeight="false" outlineLevel="0" collapsed="false">
      <c r="A4058" s="148" t="n">
        <v>45205</v>
      </c>
      <c r="B4058" s="37" t="n">
        <v>494.832702636719</v>
      </c>
    </row>
    <row r="4059" customFormat="false" ht="15" hidden="false" customHeight="false" outlineLevel="0" collapsed="false">
      <c r="A4059" s="148" t="n">
        <v>45208</v>
      </c>
      <c r="B4059" s="37" t="n">
        <v>497.831726074219</v>
      </c>
    </row>
    <row r="4060" customFormat="false" ht="15" hidden="false" customHeight="false" outlineLevel="0" collapsed="false">
      <c r="A4060" s="148" t="n">
        <v>45209</v>
      </c>
      <c r="B4060" s="37" t="n">
        <v>459.844573974609</v>
      </c>
    </row>
    <row r="4061" customFormat="false" ht="15" hidden="false" customHeight="false" outlineLevel="0" collapsed="false">
      <c r="A4061" s="148" t="n">
        <v>45210</v>
      </c>
      <c r="B4061" s="37" t="n">
        <v>449.847930908203</v>
      </c>
    </row>
    <row r="4062" customFormat="false" ht="15" hidden="false" customHeight="false" outlineLevel="0" collapsed="false">
      <c r="A4062" s="148" t="n">
        <v>45211</v>
      </c>
      <c r="B4062" s="37" t="n">
        <v>447.848602294922</v>
      </c>
    </row>
    <row r="4063" customFormat="false" ht="15" hidden="false" customHeight="false" outlineLevel="0" collapsed="false">
      <c r="A4063" s="148" t="n">
        <v>45212</v>
      </c>
      <c r="B4063" s="37" t="n">
        <v>468.841522216797</v>
      </c>
    </row>
    <row r="4064" customFormat="false" ht="15" hidden="false" customHeight="false" outlineLevel="0" collapsed="false">
      <c r="A4064" s="148" t="n">
        <v>45215</v>
      </c>
      <c r="B4064" s="37" t="n">
        <v>434.852996826172</v>
      </c>
    </row>
    <row r="4065" customFormat="false" ht="15" hidden="false" customHeight="false" outlineLevel="0" collapsed="false">
      <c r="A4065" s="148" t="n">
        <v>45216</v>
      </c>
      <c r="B4065" s="37" t="n">
        <v>451.847259521484</v>
      </c>
    </row>
    <row r="4066" customFormat="false" ht="15" hidden="false" customHeight="false" outlineLevel="0" collapsed="false">
      <c r="A4066" s="148" t="n">
        <v>45217</v>
      </c>
      <c r="B4066" s="37" t="n">
        <v>449.847930908203</v>
      </c>
    </row>
    <row r="4067" customFormat="false" ht="15" hidden="false" customHeight="false" outlineLevel="0" collapsed="false">
      <c r="A4067" s="148" t="n">
        <v>45218</v>
      </c>
      <c r="B4067" s="37" t="n">
        <v>449.847930908203</v>
      </c>
    </row>
    <row r="4068" customFormat="false" ht="15" hidden="false" customHeight="false" outlineLevel="0" collapsed="false">
      <c r="A4068" s="148" t="n">
        <v>45219</v>
      </c>
      <c r="B4068" s="37" t="n">
        <v>449.847930908203</v>
      </c>
    </row>
    <row r="4069" customFormat="false" ht="15" hidden="false" customHeight="false" outlineLevel="0" collapsed="false">
      <c r="A4069" s="148" t="n">
        <v>45222</v>
      </c>
      <c r="B4069" s="37" t="n">
        <v>444.849639892578</v>
      </c>
    </row>
    <row r="4070" customFormat="false" ht="15" hidden="false" customHeight="false" outlineLevel="0" collapsed="false">
      <c r="A4070" s="148" t="n">
        <v>45223</v>
      </c>
      <c r="B4070" s="37" t="n">
        <v>441.850616455078</v>
      </c>
    </row>
    <row r="4071" customFormat="false" ht="15" hidden="false" customHeight="false" outlineLevel="0" collapsed="false">
      <c r="A4071" s="148" t="n">
        <v>45224</v>
      </c>
      <c r="B4071" s="37" t="n">
        <v>449.847930908203</v>
      </c>
    </row>
    <row r="4072" customFormat="false" ht="15" hidden="false" customHeight="false" outlineLevel="0" collapsed="false">
      <c r="A4072" s="148" t="n">
        <v>45225</v>
      </c>
      <c r="B4072" s="37" t="n">
        <v>429.854675292969</v>
      </c>
    </row>
    <row r="4073" customFormat="false" ht="15" hidden="false" customHeight="false" outlineLevel="0" collapsed="false">
      <c r="A4073" s="148" t="n">
        <v>45226</v>
      </c>
      <c r="B4073" s="37" t="n">
        <v>429.854675292969</v>
      </c>
    </row>
    <row r="4074" customFormat="false" ht="15" hidden="false" customHeight="false" outlineLevel="0" collapsed="false">
      <c r="A4074" s="148" t="n">
        <v>45229</v>
      </c>
      <c r="B4074" s="37" t="n">
        <v>428.855041503906</v>
      </c>
    </row>
    <row r="4075" customFormat="false" ht="15" hidden="false" customHeight="false" outlineLevel="0" collapsed="false">
      <c r="A4075" s="148" t="n">
        <v>45230</v>
      </c>
      <c r="B4075" s="37" t="n">
        <v>424.856384277344</v>
      </c>
    </row>
    <row r="4076" customFormat="false" ht="15" hidden="false" customHeight="false" outlineLevel="0" collapsed="false">
      <c r="A4076" s="148" t="n">
        <v>45231</v>
      </c>
      <c r="B4076" s="37" t="n">
        <v>424.856384277344</v>
      </c>
    </row>
    <row r="4077" customFormat="false" ht="15" hidden="false" customHeight="false" outlineLevel="0" collapsed="false">
      <c r="A4077" s="148" t="n">
        <v>45232</v>
      </c>
      <c r="B4077" s="37" t="n">
        <v>429.854675292969</v>
      </c>
    </row>
    <row r="4078" customFormat="false" ht="15" hidden="false" customHeight="false" outlineLevel="0" collapsed="false">
      <c r="A4078" s="148" t="n">
        <v>45233</v>
      </c>
      <c r="B4078" s="37" t="n">
        <v>449.847930908203</v>
      </c>
    </row>
    <row r="4079" customFormat="false" ht="15" hidden="false" customHeight="false" outlineLevel="0" collapsed="false">
      <c r="A4079" s="148" t="n">
        <v>45236</v>
      </c>
      <c r="B4079" s="37" t="n">
        <v>439.851318359375</v>
      </c>
    </row>
    <row r="4080" customFormat="false" ht="15" hidden="false" customHeight="false" outlineLevel="0" collapsed="false">
      <c r="A4080" s="148" t="n">
        <v>45237</v>
      </c>
      <c r="B4080" s="37" t="n">
        <v>429.854675292969</v>
      </c>
    </row>
    <row r="4081" customFormat="false" ht="15" hidden="false" customHeight="false" outlineLevel="0" collapsed="false">
      <c r="A4081" s="148" t="n">
        <v>45238</v>
      </c>
      <c r="B4081" s="37" t="n">
        <v>429.854675292969</v>
      </c>
    </row>
    <row r="4082" customFormat="false" ht="15" hidden="false" customHeight="false" outlineLevel="0" collapsed="false">
      <c r="A4082" s="148" t="n">
        <v>45239</v>
      </c>
      <c r="B4082" s="37" t="n">
        <v>420.857727050781</v>
      </c>
    </row>
    <row r="4083" customFormat="false" ht="15" hidden="false" customHeight="false" outlineLevel="0" collapsed="false">
      <c r="A4083" s="148" t="n">
        <v>45240</v>
      </c>
      <c r="B4083" s="37" t="n">
        <v>420.857727050781</v>
      </c>
    </row>
    <row r="4084" customFormat="false" ht="15" hidden="false" customHeight="false" outlineLevel="0" collapsed="false">
      <c r="A4084" s="148" t="n">
        <v>45243</v>
      </c>
      <c r="B4084" s="37" t="n">
        <v>409.861450195313</v>
      </c>
    </row>
    <row r="4085" customFormat="false" ht="15" hidden="false" customHeight="false" outlineLevel="0" collapsed="false">
      <c r="A4085" s="148" t="n">
        <v>45244</v>
      </c>
      <c r="B4085" s="37" t="n">
        <v>405.86279296875</v>
      </c>
    </row>
    <row r="4086" customFormat="false" ht="15" hidden="false" customHeight="false" outlineLevel="0" collapsed="false">
      <c r="A4086" s="148" t="n">
        <v>45245</v>
      </c>
      <c r="B4086" s="37" t="n">
        <v>389.868194580078</v>
      </c>
    </row>
    <row r="4087" customFormat="false" ht="15" hidden="false" customHeight="false" outlineLevel="0" collapsed="false">
      <c r="A4087" s="148" t="n">
        <v>45246</v>
      </c>
      <c r="B4087" s="37" t="n">
        <v>403.863464355469</v>
      </c>
    </row>
    <row r="4088" customFormat="false" ht="15" hidden="false" customHeight="false" outlineLevel="0" collapsed="false">
      <c r="A4088" s="148" t="n">
        <v>45247</v>
      </c>
      <c r="B4088" s="37" t="n">
        <v>403.863464355469</v>
      </c>
    </row>
    <row r="4089" customFormat="false" ht="15" hidden="false" customHeight="false" outlineLevel="0" collapsed="false">
      <c r="A4089" s="148" t="n">
        <v>45250</v>
      </c>
      <c r="B4089" s="37" t="n">
        <v>399.864807128906</v>
      </c>
    </row>
    <row r="4090" customFormat="false" ht="15" hidden="false" customHeight="false" outlineLevel="0" collapsed="false">
      <c r="A4090" s="148" t="n">
        <v>45251</v>
      </c>
      <c r="B4090" s="37" t="n">
        <v>384.869903564453</v>
      </c>
    </row>
    <row r="4091" customFormat="false" ht="15" hidden="false" customHeight="false" outlineLevel="0" collapsed="false">
      <c r="A4091" s="148" t="n">
        <v>45252</v>
      </c>
      <c r="B4091" s="37" t="n">
        <v>397.865509033203</v>
      </c>
    </row>
    <row r="4092" customFormat="false" ht="15" hidden="false" customHeight="false" outlineLevel="0" collapsed="false">
      <c r="A4092" s="148" t="n">
        <v>45253</v>
      </c>
      <c r="B4092" s="37" t="n">
        <v>397.865509033203</v>
      </c>
    </row>
    <row r="4093" customFormat="false" ht="15" hidden="false" customHeight="false" outlineLevel="0" collapsed="false">
      <c r="A4093" s="148" t="n">
        <v>45254</v>
      </c>
      <c r="B4093" s="37" t="n">
        <v>394.866516113281</v>
      </c>
    </row>
    <row r="4094" customFormat="false" ht="15" hidden="false" customHeight="false" outlineLevel="0" collapsed="false">
      <c r="A4094" s="148" t="n">
        <v>45257</v>
      </c>
      <c r="B4094" s="37" t="n">
        <v>399.864807128906</v>
      </c>
    </row>
    <row r="4095" customFormat="false" ht="15" hidden="false" customHeight="false" outlineLevel="0" collapsed="false">
      <c r="A4095" s="148" t="n">
        <v>45258</v>
      </c>
      <c r="B4095" s="37" t="n">
        <v>399.864807128906</v>
      </c>
    </row>
    <row r="4096" customFormat="false" ht="15" hidden="false" customHeight="false" outlineLevel="0" collapsed="false">
      <c r="A4096" s="148" t="n">
        <v>45259</v>
      </c>
      <c r="B4096" s="37" t="n">
        <v>399.864807128906</v>
      </c>
    </row>
    <row r="4097" customFormat="false" ht="15" hidden="false" customHeight="false" outlineLevel="0" collapsed="false">
      <c r="A4097" s="148" t="n">
        <v>45260</v>
      </c>
      <c r="B4097" s="37" t="n">
        <v>389.868194580078</v>
      </c>
    </row>
    <row r="4098" customFormat="false" ht="15" hidden="false" customHeight="false" outlineLevel="0" collapsed="false">
      <c r="A4098" s="148" t="n">
        <v>45261</v>
      </c>
      <c r="B4098" s="37" t="n">
        <v>418.8583984375</v>
      </c>
    </row>
    <row r="4099" customFormat="false" ht="15" hidden="false" customHeight="false" outlineLevel="0" collapsed="false">
      <c r="A4099" s="148" t="n">
        <v>45264</v>
      </c>
      <c r="B4099" s="37" t="n">
        <v>409.861450195313</v>
      </c>
    </row>
    <row r="4100" customFormat="false" ht="15" hidden="false" customHeight="false" outlineLevel="0" collapsed="false">
      <c r="A4100" s="148" t="n">
        <v>45265</v>
      </c>
      <c r="B4100" s="37" t="n">
        <v>403.863464355469</v>
      </c>
    </row>
    <row r="4101" customFormat="false" ht="15" hidden="false" customHeight="false" outlineLevel="0" collapsed="false">
      <c r="A4101" s="148" t="n">
        <v>45266</v>
      </c>
      <c r="B4101" s="37" t="n">
        <v>419.858062744141</v>
      </c>
    </row>
    <row r="4102" customFormat="false" ht="15" hidden="false" customHeight="false" outlineLevel="0" collapsed="false">
      <c r="A4102" s="148" t="n">
        <v>45267</v>
      </c>
      <c r="B4102" s="37" t="n">
        <v>402.863830566406</v>
      </c>
    </row>
    <row r="4103" customFormat="false" ht="15" hidden="false" customHeight="false" outlineLevel="0" collapsed="false">
      <c r="A4103" s="148" t="n">
        <v>45268</v>
      </c>
      <c r="B4103" s="37" t="n">
        <v>424.856384277344</v>
      </c>
    </row>
    <row r="4104" customFormat="false" ht="15" hidden="false" customHeight="false" outlineLevel="0" collapsed="false">
      <c r="A4104" s="148" t="n">
        <v>45271</v>
      </c>
      <c r="B4104" s="37" t="n">
        <v>409.861450195313</v>
      </c>
    </row>
    <row r="4105" customFormat="false" ht="15" hidden="false" customHeight="false" outlineLevel="0" collapsed="false">
      <c r="A4105" s="148" t="n">
        <v>45272</v>
      </c>
      <c r="B4105" s="37" t="n">
        <v>438.851654052734</v>
      </c>
    </row>
    <row r="4106" customFormat="false" ht="15" hidden="false" customHeight="false" outlineLevel="0" collapsed="false">
      <c r="A4106" s="148" t="n">
        <v>45273</v>
      </c>
      <c r="B4106" s="37" t="n">
        <v>417.858764648438</v>
      </c>
    </row>
    <row r="4107" customFormat="false" ht="15" hidden="false" customHeight="false" outlineLevel="0" collapsed="false">
      <c r="A4107" s="148" t="n">
        <v>45274</v>
      </c>
      <c r="B4107" s="37" t="n">
        <v>424.856384277344</v>
      </c>
    </row>
    <row r="4108" customFormat="false" ht="15" hidden="false" customHeight="false" outlineLevel="0" collapsed="false">
      <c r="A4108" s="148" t="n">
        <v>45278</v>
      </c>
      <c r="B4108" s="37" t="n">
        <v>434.852996826172</v>
      </c>
    </row>
    <row r="4109" customFormat="false" ht="15" hidden="false" customHeight="false" outlineLevel="0" collapsed="false">
      <c r="A4109" s="148" t="n">
        <v>45279</v>
      </c>
      <c r="B4109" s="37" t="n">
        <v>432.853668212891</v>
      </c>
    </row>
    <row r="4110" customFormat="false" ht="15" hidden="false" customHeight="false" outlineLevel="0" collapsed="false">
      <c r="A4110" s="148" t="n">
        <v>45280</v>
      </c>
      <c r="B4110" s="37" t="n">
        <v>458.844879150391</v>
      </c>
    </row>
    <row r="4111" customFormat="false" ht="15" hidden="false" customHeight="false" outlineLevel="0" collapsed="false">
      <c r="A4111" s="148" t="n">
        <v>45281</v>
      </c>
      <c r="B4111" s="37" t="n">
        <v>458.844879150391</v>
      </c>
    </row>
    <row r="4112" customFormat="false" ht="15" hidden="false" customHeight="false" outlineLevel="0" collapsed="false">
      <c r="A4112" s="148" t="n">
        <v>45282</v>
      </c>
      <c r="B4112" s="37" t="n">
        <v>459.844573974609</v>
      </c>
    </row>
    <row r="4113" customFormat="false" ht="15" hidden="false" customHeight="false" outlineLevel="0" collapsed="false">
      <c r="A4113" s="148" t="n">
        <v>45287</v>
      </c>
      <c r="B4113" s="37" t="n">
        <v>457.845245361328</v>
      </c>
    </row>
    <row r="4114" customFormat="false" ht="15" hidden="false" customHeight="false" outlineLevel="0" collapsed="false">
      <c r="A4114" s="148" t="n">
        <v>45288</v>
      </c>
      <c r="B4114" s="37" t="n">
        <v>458.844879150391</v>
      </c>
    </row>
    <row r="4115" customFormat="false" ht="15" hidden="false" customHeight="false" outlineLevel="0" collapsed="false">
      <c r="A4115" s="148" t="n">
        <v>45289</v>
      </c>
      <c r="B4115" s="37" t="n">
        <v>458.844879150391</v>
      </c>
    </row>
    <row r="4116" customFormat="false" ht="15" hidden="false" customHeight="false" outlineLevel="0" collapsed="false">
      <c r="A4116" s="148" t="n">
        <v>45293</v>
      </c>
      <c r="B4116" s="37" t="n">
        <v>411.860778808594</v>
      </c>
    </row>
    <row r="4117" customFormat="false" ht="15" hidden="false" customHeight="false" outlineLevel="0" collapsed="false">
      <c r="A4117" s="148" t="n">
        <v>45294</v>
      </c>
      <c r="B4117" s="37" t="n">
        <v>409.861450195313</v>
      </c>
    </row>
    <row r="4118" customFormat="false" ht="15" hidden="false" customHeight="false" outlineLevel="0" collapsed="false">
      <c r="A4118" s="148" t="n">
        <v>45295</v>
      </c>
      <c r="B4118" s="37" t="n">
        <v>438.851654052734</v>
      </c>
    </row>
    <row r="4119" customFormat="false" ht="15" hidden="false" customHeight="false" outlineLevel="0" collapsed="false">
      <c r="A4119" s="148" t="n">
        <v>45296</v>
      </c>
      <c r="B4119" s="37" t="n">
        <v>438.851654052734</v>
      </c>
    </row>
    <row r="4120" customFormat="false" ht="15" hidden="false" customHeight="false" outlineLevel="0" collapsed="false">
      <c r="A4120" s="148" t="n">
        <v>45299</v>
      </c>
      <c r="B4120" s="37" t="n">
        <v>413.860107421875</v>
      </c>
    </row>
    <row r="4121" customFormat="false" ht="15" hidden="false" customHeight="false" outlineLevel="0" collapsed="false">
      <c r="A4121" s="148" t="n">
        <v>45300</v>
      </c>
      <c r="B4121" s="37" t="n">
        <v>434.852996826172</v>
      </c>
    </row>
    <row r="4122" customFormat="false" ht="15" hidden="false" customHeight="false" outlineLevel="0" collapsed="false">
      <c r="A4122" s="148" t="n">
        <v>45301</v>
      </c>
      <c r="B4122" s="37" t="n">
        <v>434.852996826172</v>
      </c>
    </row>
    <row r="4123" customFormat="false" ht="15" hidden="false" customHeight="false" outlineLevel="0" collapsed="false">
      <c r="A4123" s="148" t="n">
        <v>45302</v>
      </c>
      <c r="B4123" s="37" t="n">
        <v>434.852996826172</v>
      </c>
    </row>
    <row r="4124" customFormat="false" ht="15" hidden="false" customHeight="false" outlineLevel="0" collapsed="false">
      <c r="A4124" s="148" t="n">
        <v>45303</v>
      </c>
      <c r="B4124" s="37" t="n">
        <v>434.852996826172</v>
      </c>
    </row>
    <row r="4125" customFormat="false" ht="15" hidden="false" customHeight="false" outlineLevel="0" collapsed="false">
      <c r="A4125" s="148" t="n">
        <v>45306</v>
      </c>
      <c r="B4125" s="37" t="n">
        <v>436.852325439453</v>
      </c>
    </row>
    <row r="4126" customFormat="false" ht="15" hidden="false" customHeight="false" outlineLevel="0" collapsed="false">
      <c r="A4126" s="148" t="n">
        <v>45307</v>
      </c>
      <c r="B4126" s="37" t="n">
        <v>426.855712890625</v>
      </c>
    </row>
    <row r="4127" customFormat="false" ht="15" hidden="false" customHeight="false" outlineLevel="0" collapsed="false">
      <c r="A4127" s="148" t="n">
        <v>45308</v>
      </c>
      <c r="B4127" s="37" t="n">
        <v>420.857727050781</v>
      </c>
    </row>
    <row r="4128" customFormat="false" ht="15" hidden="false" customHeight="false" outlineLevel="0" collapsed="false">
      <c r="A4128" s="148" t="n">
        <v>45309</v>
      </c>
      <c r="B4128" s="37" t="n">
        <v>424.856384277344</v>
      </c>
    </row>
    <row r="4129" customFormat="false" ht="15" hidden="false" customHeight="false" outlineLevel="0" collapsed="false">
      <c r="A4129" s="148" t="n">
        <v>45310</v>
      </c>
      <c r="B4129" s="37" t="n">
        <v>433.853332519531</v>
      </c>
    </row>
    <row r="4130" customFormat="false" ht="15" hidden="false" customHeight="false" outlineLevel="0" collapsed="false">
      <c r="A4130" s="148" t="n">
        <v>45313</v>
      </c>
      <c r="B4130" s="37" t="n">
        <v>410.861083984375</v>
      </c>
    </row>
    <row r="4131" customFormat="false" ht="15" hidden="false" customHeight="false" outlineLevel="0" collapsed="false">
      <c r="A4131" s="148" t="n">
        <v>45314</v>
      </c>
      <c r="B4131" s="37" t="n">
        <v>414.859741210938</v>
      </c>
    </row>
    <row r="4132" customFormat="false" ht="15" hidden="false" customHeight="false" outlineLevel="0" collapsed="false">
      <c r="A4132" s="148" t="n">
        <v>45315</v>
      </c>
      <c r="B4132" s="37" t="n">
        <v>432.853668212891</v>
      </c>
    </row>
    <row r="4133" customFormat="false" ht="15" hidden="false" customHeight="false" outlineLevel="0" collapsed="false">
      <c r="A4133" s="148" t="n">
        <v>45316</v>
      </c>
      <c r="B4133" s="37" t="n">
        <v>432.853668212891</v>
      </c>
    </row>
    <row r="4134" customFormat="false" ht="15" hidden="false" customHeight="false" outlineLevel="0" collapsed="false">
      <c r="A4134" s="148" t="n">
        <v>45317</v>
      </c>
      <c r="B4134" s="37" t="n">
        <v>429.854675292969</v>
      </c>
    </row>
    <row r="4135" customFormat="false" ht="15" hidden="false" customHeight="false" outlineLevel="0" collapsed="false">
      <c r="A4135" s="148" t="n">
        <v>45320</v>
      </c>
      <c r="B4135" s="37" t="n">
        <v>429.854675292969</v>
      </c>
    </row>
    <row r="4136" customFormat="false" ht="15" hidden="false" customHeight="false" outlineLevel="0" collapsed="false">
      <c r="A4136" s="148" t="n">
        <v>45321</v>
      </c>
      <c r="B4136" s="37" t="n">
        <v>434.852996826172</v>
      </c>
    </row>
    <row r="4137" customFormat="false" ht="15" hidden="false" customHeight="false" outlineLevel="0" collapsed="false">
      <c r="A4137" s="148" t="n">
        <v>45322</v>
      </c>
      <c r="B4137" s="37" t="n">
        <v>444.849639892578</v>
      </c>
    </row>
    <row r="4138" customFormat="false" ht="15" hidden="false" customHeight="false" outlineLevel="0" collapsed="false">
      <c r="A4138" s="148" t="n">
        <v>45323</v>
      </c>
      <c r="B4138" s="37" t="n">
        <v>444.849639892578</v>
      </c>
    </row>
    <row r="4139" customFormat="false" ht="15" hidden="false" customHeight="false" outlineLevel="0" collapsed="false">
      <c r="A4139" s="148" t="n">
        <v>45324</v>
      </c>
      <c r="B4139" s="37" t="n">
        <v>493.833068847656</v>
      </c>
    </row>
    <row r="4140" customFormat="false" ht="15" hidden="false" customHeight="false" outlineLevel="0" collapsed="false">
      <c r="A4140" s="148" t="n">
        <v>45327</v>
      </c>
      <c r="B4140" s="37" t="n">
        <v>491.833740234375</v>
      </c>
    </row>
    <row r="4141" customFormat="false" ht="15" hidden="false" customHeight="false" outlineLevel="0" collapsed="false">
      <c r="A4141" s="148" t="n">
        <v>45328</v>
      </c>
      <c r="B4141" s="37" t="n">
        <v>496.83203125</v>
      </c>
    </row>
    <row r="4142" customFormat="false" ht="15" hidden="false" customHeight="false" outlineLevel="0" collapsed="false">
      <c r="A4142" s="148" t="n">
        <v>45329</v>
      </c>
      <c r="B4142" s="37" t="n">
        <v>452.846893310547</v>
      </c>
    </row>
    <row r="4143" customFormat="false" ht="15" hidden="false" customHeight="false" outlineLevel="0" collapsed="false">
      <c r="A4143" s="148" t="n">
        <v>45330</v>
      </c>
      <c r="B4143" s="37" t="n">
        <v>492.833374023438</v>
      </c>
    </row>
    <row r="4144" customFormat="false" ht="15" hidden="false" customHeight="false" outlineLevel="0" collapsed="false">
      <c r="A4144" s="148" t="n">
        <v>45331</v>
      </c>
      <c r="B4144" s="37" t="n">
        <v>459.844573974609</v>
      </c>
    </row>
    <row r="4145" customFormat="false" ht="15" hidden="false" customHeight="false" outlineLevel="0" collapsed="false">
      <c r="A4145" s="148" t="n">
        <v>45334</v>
      </c>
      <c r="B4145" s="37" t="n">
        <v>471.840484619141</v>
      </c>
    </row>
    <row r="4146" customFormat="false" ht="15" hidden="false" customHeight="false" outlineLevel="0" collapsed="false">
      <c r="A4146" s="148" t="n">
        <v>45335</v>
      </c>
      <c r="B4146" s="37" t="n">
        <v>476.838806152344</v>
      </c>
    </row>
    <row r="4147" customFormat="false" ht="15" hidden="false" customHeight="false" outlineLevel="0" collapsed="false">
      <c r="A4147" s="148" t="n">
        <v>45336</v>
      </c>
      <c r="B4147" s="37" t="n">
        <v>477.838470458984</v>
      </c>
    </row>
    <row r="4148" customFormat="false" ht="15" hidden="false" customHeight="false" outlineLevel="0" collapsed="false">
      <c r="A4148" s="148" t="n">
        <v>45337</v>
      </c>
      <c r="B4148" s="37" t="n">
        <v>484.836120605469</v>
      </c>
    </row>
    <row r="4149" customFormat="false" ht="15" hidden="false" customHeight="false" outlineLevel="0" collapsed="false">
      <c r="A4149" s="148" t="n">
        <v>45338</v>
      </c>
      <c r="B4149" s="37" t="n">
        <v>472.840148925781</v>
      </c>
    </row>
    <row r="4150" customFormat="false" ht="15" hidden="false" customHeight="false" outlineLevel="0" collapsed="false">
      <c r="A4150" s="148" t="n">
        <v>45341</v>
      </c>
      <c r="B4150" s="37" t="n">
        <v>472.840148925781</v>
      </c>
    </row>
    <row r="4151" customFormat="false" ht="15" hidden="false" customHeight="false" outlineLevel="0" collapsed="false">
      <c r="A4151" s="148" t="n">
        <v>45342</v>
      </c>
      <c r="B4151" s="37" t="n">
        <v>474.839477539063</v>
      </c>
    </row>
    <row r="4152" customFormat="false" ht="15" hidden="false" customHeight="false" outlineLevel="0" collapsed="false">
      <c r="A4152" s="148" t="n">
        <v>45343</v>
      </c>
      <c r="B4152" s="37" t="n">
        <v>459.844573974609</v>
      </c>
    </row>
    <row r="4153" customFormat="false" ht="15" hidden="false" customHeight="false" outlineLevel="0" collapsed="false">
      <c r="A4153" s="148" t="n">
        <v>45344</v>
      </c>
      <c r="B4153" s="37" t="n">
        <v>471.840484619141</v>
      </c>
    </row>
    <row r="4154" customFormat="false" ht="15" hidden="false" customHeight="false" outlineLevel="0" collapsed="false">
      <c r="A4154" s="148" t="n">
        <v>45345</v>
      </c>
      <c r="B4154" s="37" t="n">
        <v>489.834411621094</v>
      </c>
    </row>
    <row r="4155" customFormat="false" ht="15" hidden="false" customHeight="false" outlineLevel="0" collapsed="false">
      <c r="A4155" s="148" t="n">
        <v>45348</v>
      </c>
      <c r="B4155" s="37" t="n">
        <v>479.837799072266</v>
      </c>
    </row>
    <row r="4156" customFormat="false" ht="15" hidden="false" customHeight="false" outlineLevel="0" collapsed="false">
      <c r="A4156" s="148" t="n">
        <v>45349</v>
      </c>
      <c r="B4156" s="37" t="n">
        <v>456.845550537109</v>
      </c>
    </row>
    <row r="4157" customFormat="false" ht="15" hidden="false" customHeight="false" outlineLevel="0" collapsed="false">
      <c r="A4157" s="148" t="n">
        <v>45350</v>
      </c>
      <c r="B4157" s="37" t="n">
        <v>464.842864990234</v>
      </c>
    </row>
    <row r="4158" customFormat="false" ht="15" hidden="false" customHeight="false" outlineLevel="0" collapsed="false">
      <c r="A4158" s="148" t="n">
        <v>45351</v>
      </c>
      <c r="B4158" s="37" t="n">
        <v>464.842864990234</v>
      </c>
    </row>
    <row r="4159" customFormat="false" ht="15" hidden="false" customHeight="false" outlineLevel="0" collapsed="false">
      <c r="A4159" s="148" t="n">
        <v>45352</v>
      </c>
      <c r="B4159" s="37" t="n">
        <v>469.841186523438</v>
      </c>
    </row>
    <row r="4160" customFormat="false" ht="15" hidden="false" customHeight="false" outlineLevel="0" collapsed="false">
      <c r="A4160" s="148" t="n">
        <v>45355</v>
      </c>
      <c r="B4160" s="37" t="n">
        <v>459.844573974609</v>
      </c>
    </row>
    <row r="4161" customFormat="false" ht="15" hidden="false" customHeight="false" outlineLevel="0" collapsed="false">
      <c r="A4161" s="148" t="n">
        <v>45356</v>
      </c>
      <c r="B4161" s="37" t="n">
        <v>464.842864990234</v>
      </c>
    </row>
    <row r="4162" customFormat="false" ht="15" hidden="false" customHeight="false" outlineLevel="0" collapsed="false">
      <c r="A4162" s="148" t="n">
        <v>45357</v>
      </c>
      <c r="B4162" s="37" t="n">
        <v>459.844573974609</v>
      </c>
    </row>
    <row r="4163" customFormat="false" ht="15" hidden="false" customHeight="false" outlineLevel="0" collapsed="false">
      <c r="A4163" s="148" t="n">
        <v>45358</v>
      </c>
      <c r="B4163" s="37" t="n">
        <v>464.842864990234</v>
      </c>
    </row>
    <row r="4164" customFormat="false" ht="15" hidden="false" customHeight="false" outlineLevel="0" collapsed="false">
      <c r="A4164" s="148" t="n">
        <v>45359</v>
      </c>
      <c r="B4164" s="37" t="n">
        <v>464.842864990234</v>
      </c>
    </row>
    <row r="4165" customFormat="false" ht="15" hidden="false" customHeight="false" outlineLevel="0" collapsed="false">
      <c r="A4165" s="148" t="n">
        <v>45362</v>
      </c>
      <c r="B4165" s="37" t="n">
        <v>459.844573974609</v>
      </c>
    </row>
    <row r="4166" customFormat="false" ht="15" hidden="false" customHeight="false" outlineLevel="0" collapsed="false">
      <c r="A4166" s="148" t="n">
        <v>45363</v>
      </c>
      <c r="B4166" s="37" t="n">
        <v>459.844573974609</v>
      </c>
    </row>
    <row r="4167" customFormat="false" ht="15" hidden="false" customHeight="false" outlineLevel="0" collapsed="false">
      <c r="A4167" s="148" t="n">
        <v>45364</v>
      </c>
      <c r="B4167" s="37" t="n">
        <v>459.844573974609</v>
      </c>
    </row>
    <row r="4168" customFormat="false" ht="15" hidden="false" customHeight="false" outlineLevel="0" collapsed="false">
      <c r="A4168" s="148" t="n">
        <v>45365</v>
      </c>
      <c r="B4168" s="37" t="n">
        <v>464.842864990234</v>
      </c>
    </row>
    <row r="4169" customFormat="false" ht="15" hidden="false" customHeight="false" outlineLevel="0" collapsed="false">
      <c r="A4169" s="148" t="n">
        <v>45366</v>
      </c>
      <c r="B4169" s="37" t="n">
        <v>464.842864990234</v>
      </c>
    </row>
    <row r="4170" customFormat="false" ht="15" hidden="false" customHeight="false" outlineLevel="0" collapsed="false">
      <c r="A4170" s="148" t="n">
        <v>45369</v>
      </c>
      <c r="B4170" s="37" t="n">
        <v>493.833068847656</v>
      </c>
    </row>
    <row r="4171" customFormat="false" ht="15" hidden="false" customHeight="false" outlineLevel="0" collapsed="false">
      <c r="A4171" s="148" t="n">
        <v>45370</v>
      </c>
      <c r="B4171" s="37" t="n">
        <v>487.835083007813</v>
      </c>
    </row>
    <row r="4172" customFormat="false" ht="15" hidden="false" customHeight="false" outlineLevel="0" collapsed="false">
      <c r="A4172" s="148" t="n">
        <v>45371</v>
      </c>
      <c r="B4172" s="37" t="n">
        <v>524.822570800781</v>
      </c>
    </row>
    <row r="4173" customFormat="false" ht="15" hidden="false" customHeight="false" outlineLevel="0" collapsed="false">
      <c r="A4173" s="148" t="n">
        <v>45373</v>
      </c>
      <c r="B4173" s="37" t="n">
        <v>514.825927734375</v>
      </c>
    </row>
    <row r="4174" customFormat="false" ht="15" hidden="false" customHeight="false" outlineLevel="0" collapsed="false">
      <c r="A4174" s="148" t="n">
        <v>45376</v>
      </c>
      <c r="B4174" s="37" t="n">
        <v>480.837463378906</v>
      </c>
    </row>
    <row r="4175" customFormat="false" ht="15" hidden="false" customHeight="false" outlineLevel="0" collapsed="false">
      <c r="A4175" s="148" t="n">
        <v>45377</v>
      </c>
      <c r="B4175" s="37" t="n">
        <v>479.837799072266</v>
      </c>
    </row>
    <row r="4176" customFormat="false" ht="15" hidden="false" customHeight="false" outlineLevel="0" collapsed="false">
      <c r="A4176" s="148" t="n">
        <v>45378</v>
      </c>
      <c r="B4176" s="37" t="n">
        <v>507.828338623047</v>
      </c>
    </row>
    <row r="4177" customFormat="false" ht="15" hidden="false" customHeight="false" outlineLevel="0" collapsed="false">
      <c r="A4177" s="148" t="n">
        <v>45379</v>
      </c>
      <c r="B4177" s="37" t="n">
        <v>484.836120605469</v>
      </c>
    </row>
    <row r="4178" customFormat="false" ht="15" hidden="false" customHeight="false" outlineLevel="0" collapsed="false">
      <c r="A4178" s="148" t="n">
        <v>45384</v>
      </c>
      <c r="B4178" s="37" t="n">
        <v>499.8310546875</v>
      </c>
    </row>
    <row r="4179" customFormat="false" ht="15" hidden="false" customHeight="false" outlineLevel="0" collapsed="false">
      <c r="A4179" s="148" t="n">
        <v>45385</v>
      </c>
      <c r="B4179" s="37" t="n">
        <v>506.828674316406</v>
      </c>
    </row>
    <row r="4180" customFormat="false" ht="15" hidden="false" customHeight="false" outlineLevel="0" collapsed="false">
      <c r="A4180" s="148" t="n">
        <v>45386</v>
      </c>
      <c r="B4180" s="37" t="n">
        <v>504.829345703125</v>
      </c>
    </row>
    <row r="4181" customFormat="false" ht="15" hidden="false" customHeight="false" outlineLevel="0" collapsed="false">
      <c r="A4181" s="148" t="n">
        <v>45387</v>
      </c>
      <c r="B4181" s="37" t="n">
        <v>500.830688476563</v>
      </c>
    </row>
    <row r="4182" customFormat="false" ht="15" hidden="false" customHeight="false" outlineLevel="0" collapsed="false">
      <c r="A4182" s="148" t="n">
        <v>45390</v>
      </c>
      <c r="B4182" s="37" t="n">
        <v>504.829345703125</v>
      </c>
    </row>
    <row r="4183" customFormat="false" ht="15" hidden="false" customHeight="false" outlineLevel="0" collapsed="false">
      <c r="A4183" s="148" t="n">
        <v>45391</v>
      </c>
      <c r="B4183" s="37" t="n">
        <v>499.8310546875</v>
      </c>
    </row>
    <row r="4184" customFormat="false" ht="15" hidden="false" customHeight="false" outlineLevel="0" collapsed="false">
      <c r="A4184" s="148" t="n">
        <v>45392</v>
      </c>
      <c r="B4184" s="37" t="n">
        <v>499.8310546875</v>
      </c>
    </row>
    <row r="4185" customFormat="false" ht="15" hidden="false" customHeight="false" outlineLevel="0" collapsed="false">
      <c r="A4185" s="148" t="n">
        <v>45393</v>
      </c>
      <c r="B4185" s="37" t="n">
        <v>499.8310546875</v>
      </c>
    </row>
    <row r="4186" customFormat="false" ht="15" hidden="false" customHeight="false" outlineLevel="0" collapsed="false">
      <c r="A4186" s="148" t="n">
        <v>45394</v>
      </c>
      <c r="B4186" s="37" t="n">
        <v>484.836120605469</v>
      </c>
    </row>
    <row r="4187" customFormat="false" ht="15" hidden="false" customHeight="false" outlineLevel="0" collapsed="false">
      <c r="A4187" s="148" t="n">
        <v>45397</v>
      </c>
      <c r="B4187" s="37" t="n">
        <v>499.8310546875</v>
      </c>
    </row>
    <row r="4188" customFormat="false" ht="15" hidden="false" customHeight="false" outlineLevel="0" collapsed="false">
      <c r="A4188" s="148" t="n">
        <v>45398</v>
      </c>
      <c r="B4188" s="37" t="n">
        <v>527.821594238281</v>
      </c>
    </row>
    <row r="4189" customFormat="false" ht="15" hidden="false" customHeight="false" outlineLevel="0" collapsed="false">
      <c r="A4189" s="148" t="n">
        <v>45399</v>
      </c>
      <c r="B4189" s="37" t="n">
        <v>549.814147949219</v>
      </c>
    </row>
    <row r="4190" customFormat="false" ht="15" hidden="false" customHeight="false" outlineLevel="0" collapsed="false">
      <c r="A4190" s="148" t="n">
        <v>45400</v>
      </c>
      <c r="B4190" s="37" t="n">
        <v>579.804016113281</v>
      </c>
    </row>
    <row r="4191" customFormat="false" ht="15" hidden="false" customHeight="false" outlineLevel="0" collapsed="false">
      <c r="A4191" s="148" t="n">
        <v>45401</v>
      </c>
      <c r="B4191" s="37" t="n">
        <v>536.818542480469</v>
      </c>
    </row>
    <row r="4192" customFormat="false" ht="15" hidden="false" customHeight="false" outlineLevel="0" collapsed="false">
      <c r="A4192" s="148" t="n">
        <v>45404</v>
      </c>
      <c r="B4192" s="37" t="n">
        <v>569.807434082031</v>
      </c>
    </row>
    <row r="4193" customFormat="false" ht="15" hidden="false" customHeight="false" outlineLevel="0" collapsed="false">
      <c r="A4193" s="148" t="n">
        <v>45405</v>
      </c>
      <c r="B4193" s="37" t="n">
        <v>549.814147949219</v>
      </c>
    </row>
    <row r="4194" customFormat="false" ht="15" hidden="false" customHeight="false" outlineLevel="0" collapsed="false">
      <c r="A4194" s="148" t="n">
        <v>45406</v>
      </c>
      <c r="B4194" s="37" t="n">
        <v>539.817504882813</v>
      </c>
    </row>
    <row r="4195" customFormat="false" ht="15" hidden="false" customHeight="false" outlineLevel="0" collapsed="false">
      <c r="A4195" s="148" t="n">
        <v>45407</v>
      </c>
      <c r="B4195" s="37" t="n">
        <v>549.814147949219</v>
      </c>
    </row>
    <row r="4196" customFormat="false" ht="15" hidden="false" customHeight="false" outlineLevel="0" collapsed="false">
      <c r="A4196" s="148" t="n">
        <v>45408</v>
      </c>
      <c r="B4196" s="37" t="n">
        <v>558.811096191406</v>
      </c>
    </row>
    <row r="4197" customFormat="false" ht="15" hidden="false" customHeight="false" outlineLevel="0" collapsed="false">
      <c r="A4197" s="148" t="n">
        <v>45411</v>
      </c>
      <c r="B4197" s="37" t="n">
        <v>569.807434082031</v>
      </c>
    </row>
    <row r="4198" customFormat="false" ht="15" hidden="false" customHeight="false" outlineLevel="0" collapsed="false">
      <c r="A4198" s="148" t="n">
        <v>45412</v>
      </c>
      <c r="B4198" s="37" t="n">
        <v>549.814147949219</v>
      </c>
    </row>
    <row r="4199" customFormat="false" ht="15" hidden="false" customHeight="false" outlineLevel="0" collapsed="false">
      <c r="A4199" s="148" t="n">
        <v>45414</v>
      </c>
      <c r="B4199" s="37" t="n">
        <v>564.809020996094</v>
      </c>
    </row>
    <row r="4200" customFormat="false" ht="15" hidden="false" customHeight="false" outlineLevel="0" collapsed="false">
      <c r="A4200" s="148" t="n">
        <v>45415</v>
      </c>
      <c r="B4200" s="37" t="n">
        <v>576.804992675781</v>
      </c>
    </row>
    <row r="4201" customFormat="false" ht="15" hidden="false" customHeight="false" outlineLevel="0" collapsed="false">
      <c r="A4201" s="148" t="n">
        <v>45418</v>
      </c>
      <c r="B4201" s="37" t="n">
        <v>559.810729980469</v>
      </c>
    </row>
    <row r="4202" customFormat="false" ht="15" hidden="false" customHeight="false" outlineLevel="0" collapsed="false">
      <c r="A4202" s="148" t="n">
        <v>45419</v>
      </c>
      <c r="B4202" s="37" t="n">
        <v>535.81884765625</v>
      </c>
    </row>
    <row r="4203" customFormat="false" ht="15" hidden="false" customHeight="false" outlineLevel="0" collapsed="false">
      <c r="A4203" s="148" t="n">
        <v>45420</v>
      </c>
      <c r="B4203" s="37" t="n">
        <v>529.820922851563</v>
      </c>
    </row>
    <row r="4204" customFormat="false" ht="15" hidden="false" customHeight="false" outlineLevel="0" collapsed="false">
      <c r="A4204" s="148" t="n">
        <v>45421</v>
      </c>
      <c r="B4204" s="37" t="n">
        <v>539.817504882813</v>
      </c>
    </row>
    <row r="4205" customFormat="false" ht="15" hidden="false" customHeight="false" outlineLevel="0" collapsed="false">
      <c r="A4205" s="148" t="n">
        <v>45422</v>
      </c>
      <c r="B4205" s="37" t="n">
        <v>536.818542480469</v>
      </c>
    </row>
    <row r="4206" customFormat="false" ht="15" hidden="false" customHeight="false" outlineLevel="0" collapsed="false">
      <c r="A4206" s="148" t="n">
        <v>45425</v>
      </c>
      <c r="B4206" s="37" t="n">
        <v>574.805725097656</v>
      </c>
    </row>
    <row r="4207" customFormat="false" ht="15" hidden="false" customHeight="false" outlineLevel="0" collapsed="false">
      <c r="A4207" s="148" t="n">
        <v>45426</v>
      </c>
      <c r="B4207" s="37" t="n">
        <v>580.803649902344</v>
      </c>
    </row>
    <row r="4208" customFormat="false" ht="15" hidden="false" customHeight="false" outlineLevel="0" collapsed="false">
      <c r="A4208" s="148" t="n">
        <v>45427</v>
      </c>
      <c r="B4208" s="37" t="n">
        <v>584.802307128906</v>
      </c>
    </row>
    <row r="4209" customFormat="false" ht="15" hidden="false" customHeight="false" outlineLevel="0" collapsed="false">
      <c r="A4209" s="148" t="n">
        <v>45428</v>
      </c>
      <c r="B4209" s="37" t="n">
        <v>588.800964355469</v>
      </c>
    </row>
    <row r="4210" customFormat="false" ht="15" hidden="false" customHeight="false" outlineLevel="0" collapsed="false">
      <c r="A4210" s="148" t="n">
        <v>45429</v>
      </c>
      <c r="B4210" s="37" t="n">
        <v>564.809020996094</v>
      </c>
    </row>
    <row r="4211" customFormat="false" ht="15" hidden="false" customHeight="false" outlineLevel="0" collapsed="false">
      <c r="A4211" s="148" t="n">
        <v>45432</v>
      </c>
      <c r="B4211" s="37" t="n">
        <v>567.808044433594</v>
      </c>
    </row>
    <row r="4212" customFormat="false" ht="15" hidden="false" customHeight="false" outlineLevel="0" collapsed="false">
      <c r="A4212" s="148" t="n">
        <v>45433</v>
      </c>
      <c r="B4212" s="37" t="n">
        <v>564.809020996094</v>
      </c>
    </row>
    <row r="4213" customFormat="false" ht="15" hidden="false" customHeight="false" outlineLevel="0" collapsed="false">
      <c r="A4213" s="148" t="n">
        <v>45434</v>
      </c>
      <c r="B4213" s="37" t="n">
        <v>587.801330566406</v>
      </c>
    </row>
    <row r="4214" customFormat="false" ht="15" hidden="false" customHeight="false" outlineLevel="0" collapsed="false">
      <c r="A4214" s="148" t="n">
        <v>45435</v>
      </c>
      <c r="B4214" s="37" t="n">
        <v>589.800598144531</v>
      </c>
    </row>
    <row r="4215" customFormat="false" ht="15" hidden="false" customHeight="false" outlineLevel="0" collapsed="false">
      <c r="A4215" s="148" t="n">
        <v>45436</v>
      </c>
      <c r="B4215" s="37" t="n">
        <v>589.800598144531</v>
      </c>
    </row>
    <row r="4216" customFormat="false" ht="15" hidden="false" customHeight="false" outlineLevel="0" collapsed="false">
      <c r="A4216" s="148" t="n">
        <v>45439</v>
      </c>
      <c r="B4216" s="37" t="n">
        <v>562.809753417969</v>
      </c>
    </row>
    <row r="4217" customFormat="false" ht="15" hidden="false" customHeight="false" outlineLevel="0" collapsed="false">
      <c r="A4217" s="148" t="n">
        <v>45440</v>
      </c>
      <c r="B4217" s="37" t="n">
        <v>584.900939941406</v>
      </c>
    </row>
    <row r="4218" customFormat="false" ht="15" hidden="false" customHeight="false" outlineLevel="0" collapsed="false">
      <c r="A4218" s="148" t="n">
        <v>45442</v>
      </c>
      <c r="B4218" s="37" t="n">
        <v>584.900939941406</v>
      </c>
    </row>
    <row r="4219" customFormat="false" ht="15" hidden="false" customHeight="false" outlineLevel="0" collapsed="false">
      <c r="A4219" s="148" t="n">
        <v>45443</v>
      </c>
      <c r="B4219" s="37" t="n">
        <v>584.900939941406</v>
      </c>
    </row>
    <row r="4220" customFormat="false" ht="15" hidden="false" customHeight="false" outlineLevel="0" collapsed="false">
      <c r="A4220" s="148" t="n">
        <v>45446</v>
      </c>
      <c r="B4220" s="37" t="n">
        <v>584.900939941406</v>
      </c>
    </row>
    <row r="4221" customFormat="false" ht="15" hidden="false" customHeight="false" outlineLevel="0" collapsed="false">
      <c r="A4221" s="148" t="n">
        <v>45447</v>
      </c>
      <c r="B4221" s="37" t="n">
        <v>599.898376464844</v>
      </c>
    </row>
    <row r="4222" customFormat="false" ht="15" hidden="false" customHeight="false" outlineLevel="0" collapsed="false">
      <c r="A4222" s="148" t="n">
        <v>45448</v>
      </c>
      <c r="B4222" s="37" t="n">
        <v>579.901794433594</v>
      </c>
    </row>
    <row r="4223" customFormat="false" ht="15" hidden="false" customHeight="false" outlineLevel="0" collapsed="false">
      <c r="A4223" s="148" t="n">
        <v>45449</v>
      </c>
      <c r="B4223" s="37" t="n">
        <v>593.8994140625</v>
      </c>
    </row>
    <row r="4224" customFormat="false" ht="15" hidden="false" customHeight="false" outlineLevel="0" collapsed="false">
      <c r="A4224" s="148" t="n">
        <v>45450</v>
      </c>
      <c r="B4224" s="37" t="n">
        <v>594.899230957031</v>
      </c>
    </row>
    <row r="4225" customFormat="false" ht="15" hidden="false" customHeight="false" outlineLevel="0" collapsed="false">
      <c r="A4225" s="148" t="n">
        <v>45453</v>
      </c>
      <c r="B4225" s="37" t="n">
        <v>565.904174804688</v>
      </c>
    </row>
    <row r="4226" customFormat="false" ht="15" hidden="false" customHeight="false" outlineLevel="0" collapsed="false">
      <c r="A4226" s="148" t="n">
        <v>45454</v>
      </c>
      <c r="B4226" s="37" t="n">
        <v>569.903503417969</v>
      </c>
    </row>
    <row r="4227" customFormat="false" ht="15" hidden="false" customHeight="false" outlineLevel="0" collapsed="false">
      <c r="A4227" s="148" t="n">
        <v>45455</v>
      </c>
      <c r="B4227" s="37" t="n">
        <v>579.901794433594</v>
      </c>
    </row>
    <row r="4228" customFormat="false" ht="15" hidden="false" customHeight="false" outlineLevel="0" collapsed="false">
      <c r="A4228" s="148" t="n">
        <v>45456</v>
      </c>
      <c r="B4228" s="37" t="n">
        <v>561.904846191406</v>
      </c>
    </row>
    <row r="4229" customFormat="false" ht="15" hidden="false" customHeight="false" outlineLevel="0" collapsed="false">
      <c r="A4229" s="148" t="n">
        <v>45457</v>
      </c>
      <c r="B4229" s="37" t="n">
        <v>559.905151367188</v>
      </c>
    </row>
    <row r="4230" customFormat="false" ht="15" hidden="false" customHeight="false" outlineLevel="0" collapsed="false">
      <c r="A4230" s="148" t="n">
        <v>45461</v>
      </c>
      <c r="B4230" s="37" t="n">
        <v>571.903137207031</v>
      </c>
    </row>
    <row r="4231" customFormat="false" ht="15" hidden="false" customHeight="false" outlineLevel="0" collapsed="false">
      <c r="A4231" s="148" t="n">
        <v>45462</v>
      </c>
      <c r="B4231" s="37" t="n">
        <v>567.90380859375</v>
      </c>
    </row>
    <row r="4232" customFormat="false" ht="15" hidden="false" customHeight="false" outlineLevel="0" collapsed="false">
      <c r="A4232" s="148" t="n">
        <v>45463</v>
      </c>
      <c r="B4232" s="37" t="n">
        <v>569.903503417969</v>
      </c>
    </row>
    <row r="4233" customFormat="false" ht="15" hidden="false" customHeight="false" outlineLevel="0" collapsed="false">
      <c r="A4233" s="148" t="n">
        <v>45464</v>
      </c>
      <c r="B4233" s="37" t="n">
        <v>545.907531738281</v>
      </c>
    </row>
    <row r="4234" customFormat="false" ht="15" hidden="false" customHeight="false" outlineLevel="0" collapsed="false">
      <c r="A4234" s="148" t="n">
        <v>45467</v>
      </c>
      <c r="B4234" s="37" t="n">
        <v>550.906677246094</v>
      </c>
    </row>
    <row r="4235" customFormat="false" ht="15" hidden="false" customHeight="false" outlineLevel="0" collapsed="false">
      <c r="A4235" s="148" t="n">
        <v>45468</v>
      </c>
      <c r="B4235" s="37" t="n">
        <v>549.906860351563</v>
      </c>
    </row>
    <row r="4236" customFormat="false" ht="15" hidden="false" customHeight="false" outlineLevel="0" collapsed="false">
      <c r="A4236" s="148" t="n">
        <v>45469</v>
      </c>
      <c r="B4236" s="37" t="n">
        <v>578.901977539063</v>
      </c>
    </row>
    <row r="4237" customFormat="false" ht="15" hidden="false" customHeight="false" outlineLevel="0" collapsed="false">
      <c r="A4237" s="148" t="n">
        <v>45470</v>
      </c>
      <c r="B4237" s="37" t="n">
        <v>550.906677246094</v>
      </c>
    </row>
    <row r="4238" customFormat="false" ht="15" hidden="false" customHeight="false" outlineLevel="0" collapsed="false">
      <c r="A4238" s="148" t="n">
        <v>45471</v>
      </c>
      <c r="B4238" s="37" t="n">
        <v>550.906677246094</v>
      </c>
    </row>
    <row r="4239" customFormat="false" ht="15" hidden="false" customHeight="false" outlineLevel="0" collapsed="false">
      <c r="A4239" s="148" t="n">
        <v>45474</v>
      </c>
      <c r="B4239" s="37" t="n">
        <v>568.903625488281</v>
      </c>
    </row>
    <row r="4240" customFormat="false" ht="15" hidden="false" customHeight="false" outlineLevel="0" collapsed="false">
      <c r="A4240" s="148" t="n">
        <v>45475</v>
      </c>
      <c r="B4240" s="37" t="n">
        <v>568.903625488281</v>
      </c>
    </row>
    <row r="4241" customFormat="false" ht="15" hidden="false" customHeight="false" outlineLevel="0" collapsed="false">
      <c r="A4241" s="148" t="n">
        <v>45476</v>
      </c>
      <c r="B4241" s="37" t="n">
        <v>580.901611328125</v>
      </c>
    </row>
    <row r="4242" customFormat="false" ht="15" hidden="false" customHeight="false" outlineLevel="0" collapsed="false">
      <c r="A4242" s="148" t="n">
        <v>45477</v>
      </c>
      <c r="B4242" s="37" t="n">
        <v>559.905151367188</v>
      </c>
    </row>
    <row r="4243" customFormat="false" ht="15" hidden="false" customHeight="false" outlineLevel="0" collapsed="false">
      <c r="A4243" s="148" t="n">
        <v>45478</v>
      </c>
      <c r="B4243" s="37" t="n">
        <v>568.903625488281</v>
      </c>
    </row>
    <row r="4244" customFormat="false" ht="15" hidden="false" customHeight="false" outlineLevel="0" collapsed="false">
      <c r="A4244" s="148" t="n">
        <v>45481</v>
      </c>
      <c r="B4244" s="37" t="n">
        <v>555.905822753906</v>
      </c>
    </row>
    <row r="4245" customFormat="false" ht="15" hidden="false" customHeight="false" outlineLevel="0" collapsed="false">
      <c r="A4245" s="148" t="n">
        <v>45482</v>
      </c>
      <c r="B4245" s="37" t="n">
        <v>568.903625488281</v>
      </c>
    </row>
    <row r="4246" customFormat="false" ht="15" hidden="false" customHeight="false" outlineLevel="0" collapsed="false">
      <c r="A4246" s="148" t="n">
        <v>45483</v>
      </c>
      <c r="B4246" s="37" t="n">
        <v>554.906005859375</v>
      </c>
    </row>
    <row r="4247" customFormat="false" ht="15" hidden="false" customHeight="false" outlineLevel="0" collapsed="false">
      <c r="A4247" s="148" t="n">
        <v>45484</v>
      </c>
      <c r="B4247" s="37" t="n">
        <v>568.903625488281</v>
      </c>
    </row>
    <row r="4248" customFormat="false" ht="15" hidden="false" customHeight="false" outlineLevel="0" collapsed="false">
      <c r="A4248" s="148" t="n">
        <v>45485</v>
      </c>
      <c r="B4248" s="37" t="n">
        <v>569.903503417969</v>
      </c>
    </row>
    <row r="4249" customFormat="false" ht="15" hidden="false" customHeight="false" outlineLevel="0" collapsed="false">
      <c r="A4249" s="148" t="n">
        <v>45488</v>
      </c>
      <c r="B4249" s="37" t="n">
        <v>549.906860351563</v>
      </c>
    </row>
    <row r="4250" customFormat="false" ht="15" hidden="false" customHeight="false" outlineLevel="0" collapsed="false">
      <c r="A4250" s="148" t="n">
        <v>45489</v>
      </c>
      <c r="B4250" s="37" t="n">
        <v>550.906677246094</v>
      </c>
    </row>
    <row r="4251" customFormat="false" ht="15" hidden="false" customHeight="false" outlineLevel="0" collapsed="false">
      <c r="A4251" s="148" t="n">
        <v>45490</v>
      </c>
      <c r="B4251" s="37" t="n">
        <v>555.905822753906</v>
      </c>
    </row>
    <row r="4252" customFormat="false" ht="15" hidden="false" customHeight="false" outlineLevel="0" collapsed="false">
      <c r="A4252" s="148" t="n">
        <v>45491</v>
      </c>
      <c r="B4252" s="37" t="n">
        <v>555.905822753906</v>
      </c>
    </row>
    <row r="4253" customFormat="false" ht="15" hidden="false" customHeight="false" outlineLevel="0" collapsed="false">
      <c r="A4253" s="148" t="n">
        <v>45492</v>
      </c>
      <c r="B4253" s="37" t="n">
        <v>561.904846191406</v>
      </c>
    </row>
    <row r="4254" customFormat="false" ht="15" hidden="false" customHeight="false" outlineLevel="0" collapsed="false">
      <c r="A4254" s="148" t="n">
        <v>45495</v>
      </c>
      <c r="B4254" s="37" t="n">
        <v>562.904663085938</v>
      </c>
    </row>
    <row r="4255" customFormat="false" ht="15" hidden="false" customHeight="false" outlineLevel="0" collapsed="false">
      <c r="A4255" s="148" t="n">
        <v>45496</v>
      </c>
      <c r="B4255" s="37" t="n">
        <v>554.906005859375</v>
      </c>
    </row>
    <row r="4256" customFormat="false" ht="15" hidden="false" customHeight="false" outlineLevel="0" collapsed="false">
      <c r="A4256" s="148" t="n">
        <v>45497</v>
      </c>
      <c r="B4256" s="37" t="n">
        <v>549.906860351563</v>
      </c>
    </row>
    <row r="4257" customFormat="false" ht="15" hidden="false" customHeight="false" outlineLevel="0" collapsed="false">
      <c r="A4257" s="148" t="n">
        <v>45498</v>
      </c>
      <c r="B4257" s="37" t="n">
        <v>549.906860351563</v>
      </c>
    </row>
    <row r="4258" customFormat="false" ht="15" hidden="false" customHeight="false" outlineLevel="0" collapsed="false">
      <c r="A4258" s="148" t="n">
        <v>45499</v>
      </c>
      <c r="B4258" s="37" t="n">
        <v>558.905334472656</v>
      </c>
    </row>
    <row r="4259" customFormat="false" ht="15" hidden="false" customHeight="false" outlineLevel="0" collapsed="false">
      <c r="A4259" s="148" t="n">
        <v>45502</v>
      </c>
      <c r="B4259" s="37" t="n">
        <v>561.904846191406</v>
      </c>
    </row>
    <row r="4260" customFormat="false" ht="15" hidden="false" customHeight="false" outlineLevel="0" collapsed="false">
      <c r="A4260" s="148" t="n">
        <v>45503</v>
      </c>
      <c r="B4260" s="37" t="n">
        <v>564.904296875</v>
      </c>
    </row>
    <row r="4261" customFormat="false" ht="15" hidden="false" customHeight="false" outlineLevel="0" collapsed="false">
      <c r="A4261" s="148" t="n">
        <v>45504</v>
      </c>
      <c r="B4261" s="37" t="n">
        <v>569.903503417969</v>
      </c>
    </row>
    <row r="4262" customFormat="false" ht="15" hidden="false" customHeight="false" outlineLevel="0" collapsed="false">
      <c r="A4262" s="148" t="n">
        <v>45505</v>
      </c>
      <c r="B4262" s="37" t="n">
        <v>599.898376464844</v>
      </c>
    </row>
    <row r="4263" customFormat="false" ht="15" hidden="false" customHeight="false" outlineLevel="0" collapsed="false">
      <c r="A4263" s="148" t="n">
        <v>45506</v>
      </c>
      <c r="B4263" s="37" t="n">
        <v>599.898376464844</v>
      </c>
    </row>
    <row r="4264" customFormat="false" ht="15" hidden="false" customHeight="false" outlineLevel="0" collapsed="false">
      <c r="A4264" s="148" t="n">
        <v>45509</v>
      </c>
      <c r="B4264" s="37" t="n">
        <v>550.906677246094</v>
      </c>
    </row>
    <row r="4265" customFormat="false" ht="15" hidden="false" customHeight="false" outlineLevel="0" collapsed="false">
      <c r="A4265" s="148" t="n">
        <v>45510</v>
      </c>
      <c r="B4265" s="37" t="n">
        <v>568.903625488281</v>
      </c>
    </row>
    <row r="4266" customFormat="false" ht="15" hidden="false" customHeight="false" outlineLevel="0" collapsed="false">
      <c r="A4266" s="148" t="n">
        <v>45511</v>
      </c>
      <c r="B4266" s="37" t="n">
        <v>568.903625488281</v>
      </c>
    </row>
    <row r="4267" customFormat="false" ht="15" hidden="false" customHeight="false" outlineLevel="0" collapsed="false">
      <c r="A4267" s="148" t="n">
        <v>45512</v>
      </c>
      <c r="B4267" s="37" t="n">
        <v>561.904846191406</v>
      </c>
    </row>
    <row r="4268" customFormat="false" ht="15" hidden="false" customHeight="false" outlineLevel="0" collapsed="false">
      <c r="A4268" s="148" t="n">
        <v>45516</v>
      </c>
      <c r="B4268" s="37" t="n">
        <v>549.906860351563</v>
      </c>
    </row>
    <row r="4269" customFormat="false" ht="15" hidden="false" customHeight="false" outlineLevel="0" collapsed="false">
      <c r="A4269" s="148" t="n">
        <v>45517</v>
      </c>
      <c r="B4269" s="37" t="n">
        <v>550.906677246094</v>
      </c>
    </row>
    <row r="4270" customFormat="false" ht="15" hidden="false" customHeight="false" outlineLevel="0" collapsed="false">
      <c r="A4270" s="148" t="n">
        <v>45518</v>
      </c>
      <c r="B4270" s="37" t="n">
        <v>549.906860351563</v>
      </c>
    </row>
    <row r="4271" customFormat="false" ht="15" hidden="false" customHeight="false" outlineLevel="0" collapsed="false">
      <c r="A4271" s="148" t="n">
        <v>45519</v>
      </c>
      <c r="B4271" s="37" t="n">
        <v>526.910766601563</v>
      </c>
    </row>
    <row r="4272" customFormat="false" ht="15" hidden="false" customHeight="false" outlineLevel="0" collapsed="false">
      <c r="A4272" s="148" t="n">
        <v>45520</v>
      </c>
      <c r="B4272" s="37" t="n">
        <v>532.909729003906</v>
      </c>
    </row>
    <row r="4273" customFormat="false" ht="15" hidden="false" customHeight="false" outlineLevel="0" collapsed="false">
      <c r="A4273" s="148" t="n">
        <v>45523</v>
      </c>
      <c r="B4273" s="37" t="n">
        <v>547.9072265625</v>
      </c>
    </row>
    <row r="4274" customFormat="false" ht="15" hidden="false" customHeight="false" outlineLevel="0" collapsed="false">
      <c r="A4274" s="148" t="n">
        <v>45524</v>
      </c>
      <c r="B4274" s="37" t="n">
        <v>564.904296875</v>
      </c>
    </row>
    <row r="4275" customFormat="false" ht="15" hidden="false" customHeight="false" outlineLevel="0" collapsed="false">
      <c r="A4275" s="148" t="n">
        <v>45525</v>
      </c>
      <c r="B4275" s="37" t="n">
        <v>604.897521972656</v>
      </c>
    </row>
    <row r="4276" customFormat="false" ht="15" hidden="false" customHeight="false" outlineLevel="0" collapsed="false">
      <c r="A4276" s="148" t="n">
        <v>45526</v>
      </c>
      <c r="B4276" s="37" t="n">
        <v>589.900085449219</v>
      </c>
    </row>
    <row r="4277" customFormat="false" ht="15" hidden="false" customHeight="false" outlineLevel="0" collapsed="false">
      <c r="A4277" s="148" t="n">
        <v>45527</v>
      </c>
      <c r="B4277" s="37" t="n">
        <v>584.900939941406</v>
      </c>
    </row>
    <row r="4278" customFormat="false" ht="15" hidden="false" customHeight="false" outlineLevel="0" collapsed="false">
      <c r="A4278" s="148" t="n">
        <v>45530</v>
      </c>
      <c r="B4278" s="37" t="n">
        <v>584.900939941406</v>
      </c>
    </row>
    <row r="4279" customFormat="false" ht="15" hidden="false" customHeight="false" outlineLevel="0" collapsed="false">
      <c r="A4279" s="148" t="n">
        <v>45531</v>
      </c>
      <c r="B4279" s="37" t="n">
        <v>589.900085449219</v>
      </c>
    </row>
    <row r="4280" customFormat="false" ht="15" hidden="false" customHeight="false" outlineLevel="0" collapsed="false">
      <c r="A4280" s="148" t="n">
        <v>45532</v>
      </c>
      <c r="B4280" s="37" t="n">
        <v>583.901123046875</v>
      </c>
    </row>
    <row r="4281" customFormat="false" ht="15" hidden="false" customHeight="false" outlineLevel="0" collapsed="false">
      <c r="A4281" s="148" t="n">
        <v>45533</v>
      </c>
      <c r="B4281" s="37" t="n">
        <v>579.901794433594</v>
      </c>
    </row>
    <row r="4282" customFormat="false" ht="15" hidden="false" customHeight="false" outlineLevel="0" collapsed="false">
      <c r="A4282" s="148" t="n">
        <v>45534</v>
      </c>
      <c r="B4282" s="37" t="n">
        <v>569.903503417969</v>
      </c>
    </row>
    <row r="4283" customFormat="false" ht="15" hidden="false" customHeight="false" outlineLevel="0" collapsed="false">
      <c r="A4283" s="148" t="n">
        <v>45537</v>
      </c>
      <c r="B4283" s="37" t="n">
        <v>564.904296875</v>
      </c>
    </row>
    <row r="4284" customFormat="false" ht="15" hidden="false" customHeight="false" outlineLevel="0" collapsed="false">
      <c r="A4284" s="148" t="n">
        <v>45538</v>
      </c>
      <c r="B4284" s="37" t="n">
        <v>564.904296875</v>
      </c>
    </row>
    <row r="4285" customFormat="false" ht="15" hidden="false" customHeight="false" outlineLevel="0" collapsed="false">
      <c r="A4285" s="148" t="n">
        <v>45539</v>
      </c>
      <c r="B4285" s="37" t="n">
        <v>567.90380859375</v>
      </c>
    </row>
    <row r="4286" customFormat="false" ht="15" hidden="false" customHeight="false" outlineLevel="0" collapsed="false">
      <c r="A4286" s="148" t="n">
        <v>45540</v>
      </c>
      <c r="B4286" s="37" t="n">
        <v>557.905517578125</v>
      </c>
    </row>
    <row r="4287" customFormat="false" ht="15" hidden="false" customHeight="false" outlineLevel="0" collapsed="false">
      <c r="A4287" s="148" t="n">
        <v>45541</v>
      </c>
      <c r="B4287" s="37" t="n">
        <v>559.905151367188</v>
      </c>
    </row>
    <row r="4288" customFormat="false" ht="15" hidden="false" customHeight="false" outlineLevel="0" collapsed="false">
      <c r="A4288" s="148" t="n">
        <v>45544</v>
      </c>
      <c r="B4288" s="37" t="n">
        <v>534.909423828125</v>
      </c>
    </row>
    <row r="4289" customFormat="false" ht="15" hidden="false" customHeight="false" outlineLevel="0" collapsed="false">
      <c r="A4289" s="148" t="n">
        <v>45545</v>
      </c>
      <c r="B4289" s="37" t="n">
        <v>534.909423828125</v>
      </c>
    </row>
    <row r="4290" customFormat="false" ht="15" hidden="false" customHeight="false" outlineLevel="0" collapsed="false">
      <c r="A4290" s="148" t="n">
        <v>45546</v>
      </c>
      <c r="B4290" s="37" t="n">
        <v>534.909423828125</v>
      </c>
    </row>
    <row r="4291" customFormat="false" ht="15" hidden="false" customHeight="false" outlineLevel="0" collapsed="false">
      <c r="A4291" s="148" t="n">
        <v>45547</v>
      </c>
      <c r="B4291" s="37" t="n">
        <v>539.908569335938</v>
      </c>
    </row>
    <row r="4292" customFormat="false" ht="15" hidden="false" customHeight="false" outlineLevel="0" collapsed="false">
      <c r="A4292" s="148" t="n">
        <v>45548</v>
      </c>
      <c r="B4292" s="37" t="n">
        <v>539.908569335938</v>
      </c>
    </row>
    <row r="4293" customFormat="false" ht="15" hidden="false" customHeight="false" outlineLevel="0" collapsed="false">
      <c r="A4293" s="148" t="n">
        <v>45551</v>
      </c>
      <c r="B4293" s="37" t="n">
        <v>539.908569335938</v>
      </c>
    </row>
    <row r="4294" customFormat="false" ht="15" hidden="false" customHeight="false" outlineLevel="0" collapsed="false">
      <c r="A4294" s="148" t="n">
        <v>45552</v>
      </c>
      <c r="B4294" s="37" t="n">
        <v>533.909545898438</v>
      </c>
    </row>
    <row r="4295" customFormat="false" ht="15" hidden="false" customHeight="false" outlineLevel="0" collapsed="false">
      <c r="A4295" s="148" t="n">
        <v>45553</v>
      </c>
      <c r="B4295" s="37" t="n">
        <v>529.910278320313</v>
      </c>
    </row>
    <row r="4296" customFormat="false" ht="15" hidden="false" customHeight="false" outlineLevel="0" collapsed="false">
      <c r="A4296" s="148" t="n">
        <v>45554</v>
      </c>
      <c r="B4296" s="37" t="n">
        <v>539.908569335938</v>
      </c>
    </row>
    <row r="4297" customFormat="false" ht="15" hidden="false" customHeight="false" outlineLevel="0" collapsed="false">
      <c r="A4297" s="148" t="n">
        <v>45555</v>
      </c>
      <c r="B4297" s="37" t="n">
        <v>529.910278320313</v>
      </c>
    </row>
    <row r="4298" customFormat="false" ht="15" hidden="false" customHeight="false" outlineLevel="0" collapsed="false">
      <c r="A4298" s="148" t="n">
        <v>45558</v>
      </c>
      <c r="B4298" s="37" t="n">
        <v>537.908874511719</v>
      </c>
    </row>
    <row r="4299" customFormat="false" ht="15" hidden="false" customHeight="false" outlineLevel="0" collapsed="false">
      <c r="A4299" s="148" t="n">
        <v>45560</v>
      </c>
      <c r="B4299" s="37" t="n">
        <v>539.908569335938</v>
      </c>
    </row>
    <row r="4300" customFormat="false" ht="15" hidden="false" customHeight="false" outlineLevel="0" collapsed="false">
      <c r="A4300" s="148" t="n">
        <v>45561</v>
      </c>
      <c r="B4300" s="37" t="n">
        <v>568.903625488281</v>
      </c>
    </row>
    <row r="4301" customFormat="false" ht="15" hidden="false" customHeight="false" outlineLevel="0" collapsed="false">
      <c r="A4301" s="148" t="n">
        <v>45562</v>
      </c>
      <c r="B4301" s="37" t="n">
        <v>566.903991699219</v>
      </c>
    </row>
    <row r="4302" customFormat="false" ht="15" hidden="false" customHeight="false" outlineLevel="0" collapsed="false">
      <c r="A4302" s="148" t="n">
        <v>45565</v>
      </c>
      <c r="B4302" s="37" t="n">
        <v>556.905700683594</v>
      </c>
    </row>
    <row r="4303" customFormat="false" ht="15" hidden="false" customHeight="false" outlineLevel="0" collapsed="false">
      <c r="A4303" s="148" t="n">
        <v>45566</v>
      </c>
      <c r="B4303" s="37" t="n">
        <v>546.907348632813</v>
      </c>
    </row>
    <row r="4304" customFormat="false" ht="15" hidden="false" customHeight="false" outlineLevel="0" collapsed="false">
      <c r="A4304" s="148" t="n">
        <v>45567</v>
      </c>
      <c r="B4304" s="37" t="n">
        <v>559.905151367188</v>
      </c>
    </row>
    <row r="4305" customFormat="false" ht="15" hidden="false" customHeight="false" outlineLevel="0" collapsed="false">
      <c r="A4305" s="148" t="n">
        <v>45568</v>
      </c>
      <c r="B4305" s="37" t="n">
        <v>566.903991699219</v>
      </c>
    </row>
    <row r="4306" customFormat="false" ht="15" hidden="false" customHeight="false" outlineLevel="0" collapsed="false">
      <c r="A4306" s="148" t="n">
        <v>45569</v>
      </c>
      <c r="B4306" s="37" t="n">
        <v>566.903991699219</v>
      </c>
    </row>
    <row r="4307" customFormat="false" ht="15" hidden="false" customHeight="false" outlineLevel="0" collapsed="false">
      <c r="A4307" s="148" t="n">
        <v>45572</v>
      </c>
      <c r="B4307" s="37" t="n">
        <v>599.898376464844</v>
      </c>
    </row>
    <row r="4308" customFormat="false" ht="15" hidden="false" customHeight="false" outlineLevel="0" collapsed="false">
      <c r="A4308" s="148" t="n">
        <v>45573</v>
      </c>
      <c r="B4308" s="37" t="n">
        <v>618.895202636719</v>
      </c>
    </row>
    <row r="4309" customFormat="false" ht="15" hidden="false" customHeight="false" outlineLevel="0" collapsed="false">
      <c r="A4309" s="148" t="n">
        <v>45574</v>
      </c>
      <c r="B4309" s="37" t="n">
        <v>659.888244628906</v>
      </c>
    </row>
    <row r="4310" customFormat="false" ht="15" hidden="false" customHeight="false" outlineLevel="0" collapsed="false">
      <c r="A4310" s="148" t="n">
        <v>45575</v>
      </c>
      <c r="B4310" s="37" t="n">
        <v>669.886535644531</v>
      </c>
    </row>
    <row r="4311" customFormat="false" ht="15" hidden="false" customHeight="false" outlineLevel="0" collapsed="false">
      <c r="A4311" s="148" t="n">
        <v>45576</v>
      </c>
      <c r="B4311" s="37" t="n">
        <v>734.875549316406</v>
      </c>
    </row>
    <row r="4312" customFormat="false" ht="15" hidden="false" customHeight="false" outlineLevel="0" collapsed="false">
      <c r="A4312" s="148" t="n">
        <v>45579</v>
      </c>
      <c r="B4312" s="37" t="n">
        <v>659.888244628906</v>
      </c>
    </row>
    <row r="4313" customFormat="false" ht="15" hidden="false" customHeight="false" outlineLevel="0" collapsed="false">
      <c r="A4313" s="148" t="n">
        <v>45580</v>
      </c>
      <c r="B4313" s="37" t="n">
        <v>644.890808105469</v>
      </c>
    </row>
    <row r="4314" customFormat="false" ht="15" hidden="false" customHeight="false" outlineLevel="0" collapsed="false">
      <c r="A4314" s="148" t="n">
        <v>45581</v>
      </c>
      <c r="B4314" s="37" t="n">
        <v>654.889099121094</v>
      </c>
    </row>
    <row r="4315" customFormat="false" ht="15" hidden="false" customHeight="false" outlineLevel="0" collapsed="false">
      <c r="A4315" s="148" t="n">
        <v>45582</v>
      </c>
      <c r="B4315" s="37" t="n">
        <v>644.890808105469</v>
      </c>
    </row>
    <row r="4316" customFormat="false" ht="15" hidden="false" customHeight="false" outlineLevel="0" collapsed="false">
      <c r="A4316" s="148" t="n">
        <v>45583</v>
      </c>
      <c r="B4316" s="37" t="n">
        <v>630.893127441406</v>
      </c>
    </row>
    <row r="4317" customFormat="false" ht="15" hidden="false" customHeight="false" outlineLevel="0" collapsed="false">
      <c r="A4317" s="148" t="n">
        <v>45586</v>
      </c>
      <c r="B4317" s="37" t="n">
        <v>649.889953613281</v>
      </c>
    </row>
    <row r="4318" customFormat="false" ht="15" hidden="false" customHeight="false" outlineLevel="0" collapsed="false">
      <c r="A4318" s="148" t="n">
        <v>45587</v>
      </c>
      <c r="B4318" s="37" t="n">
        <v>649.889953613281</v>
      </c>
    </row>
    <row r="4319" customFormat="false" ht="15" hidden="false" customHeight="false" outlineLevel="0" collapsed="false">
      <c r="A4319" s="148" t="n">
        <v>45588</v>
      </c>
      <c r="B4319" s="37" t="n">
        <v>639.8916015625</v>
      </c>
    </row>
    <row r="4320" customFormat="false" ht="15" hidden="false" customHeight="false" outlineLevel="0" collapsed="false">
      <c r="A4320" s="148" t="n">
        <v>45589</v>
      </c>
      <c r="B4320" s="37" t="n">
        <v>634.892456054688</v>
      </c>
    </row>
    <row r="4321" customFormat="false" ht="15" hidden="false" customHeight="false" outlineLevel="0" collapsed="false">
      <c r="A4321" s="148" t="n">
        <v>45590</v>
      </c>
      <c r="B4321" s="37" t="n">
        <v>653.889282226563</v>
      </c>
    </row>
    <row r="4322" customFormat="false" ht="15" hidden="false" customHeight="false" outlineLevel="0" collapsed="false">
      <c r="A4322" s="148" t="n">
        <v>45593</v>
      </c>
      <c r="B4322" s="37" t="n">
        <v>664.887390136719</v>
      </c>
    </row>
    <row r="4323" customFormat="false" ht="15" hidden="false" customHeight="false" outlineLevel="0" collapsed="false">
      <c r="A4323" s="148" t="n">
        <v>45594</v>
      </c>
      <c r="B4323" s="37" t="n">
        <v>675.885498046875</v>
      </c>
    </row>
    <row r="4324" customFormat="false" ht="15" hidden="false" customHeight="false" outlineLevel="0" collapsed="false">
      <c r="A4324" s="148" t="n">
        <v>45595</v>
      </c>
      <c r="B4324" s="37" t="n">
        <v>689.883178710938</v>
      </c>
    </row>
    <row r="4325" customFormat="false" ht="15" hidden="false" customHeight="false" outlineLevel="0" collapsed="false">
      <c r="A4325" s="148" t="n">
        <v>45596</v>
      </c>
      <c r="B4325" s="37" t="n">
        <v>699.881469726563</v>
      </c>
    </row>
    <row r="4326" customFormat="false" ht="15" hidden="false" customHeight="false" outlineLevel="0" collapsed="false">
      <c r="A4326" s="148" t="n">
        <v>45597</v>
      </c>
      <c r="B4326" s="37" t="n">
        <v>701.881103515625</v>
      </c>
    </row>
    <row r="4327" customFormat="false" ht="15" hidden="false" customHeight="false" outlineLevel="0" collapsed="false">
      <c r="A4327" s="148" t="n">
        <v>45600</v>
      </c>
      <c r="B4327" s="37" t="n">
        <v>704.880615234375</v>
      </c>
    </row>
    <row r="4328" customFormat="false" ht="15" hidden="false" customHeight="false" outlineLevel="0" collapsed="false">
      <c r="A4328" s="148" t="n">
        <v>45601</v>
      </c>
      <c r="B4328" s="37" t="n">
        <v>703.880798339844</v>
      </c>
    </row>
    <row r="4329" customFormat="false" ht="15" hidden="false" customHeight="false" outlineLevel="0" collapsed="false">
      <c r="A4329" s="148" t="n">
        <v>45602</v>
      </c>
      <c r="B4329" s="37" t="n">
        <v>700.881286621094</v>
      </c>
    </row>
    <row r="4330" customFormat="false" ht="15" hidden="false" customHeight="false" outlineLevel="0" collapsed="false">
      <c r="A4330" s="148" t="n">
        <v>45603</v>
      </c>
      <c r="B4330" s="37" t="n">
        <v>715.878784179688</v>
      </c>
    </row>
    <row r="4331" customFormat="false" ht="15" hidden="false" customHeight="false" outlineLevel="0" collapsed="false">
      <c r="A4331" s="148" t="n">
        <v>45604</v>
      </c>
      <c r="B4331" s="37" t="n">
        <v>719.878051757813</v>
      </c>
    </row>
    <row r="4332" customFormat="false" ht="15" hidden="false" customHeight="false" outlineLevel="0" collapsed="false">
      <c r="A4332" s="148" t="n">
        <v>45607</v>
      </c>
      <c r="B4332" s="37" t="n">
        <v>719.878051757813</v>
      </c>
    </row>
    <row r="4333" customFormat="false" ht="15" hidden="false" customHeight="false" outlineLevel="0" collapsed="false">
      <c r="A4333" s="148" t="n">
        <v>45608</v>
      </c>
      <c r="B4333" s="37" t="n">
        <v>729.876403808594</v>
      </c>
    </row>
    <row r="4334" customFormat="false" ht="15" hidden="false" customHeight="false" outlineLevel="0" collapsed="false">
      <c r="A4334" s="148" t="n">
        <v>45609</v>
      </c>
      <c r="B4334" s="37" t="n">
        <v>734.875549316406</v>
      </c>
    </row>
    <row r="4335" customFormat="false" ht="15" hidden="false" customHeight="false" outlineLevel="0" collapsed="false">
      <c r="A4335" s="148" t="n">
        <v>45610</v>
      </c>
      <c r="B4335" s="37" t="n">
        <v>737.875</v>
      </c>
    </row>
    <row r="4336" customFormat="false" ht="15" hidden="false" customHeight="false" outlineLevel="0" collapsed="false">
      <c r="A4336" s="148" t="n">
        <v>45611</v>
      </c>
      <c r="B4336" s="37" t="n">
        <v>699.881469726563</v>
      </c>
    </row>
    <row r="4337" customFormat="false" ht="15" hidden="false" customHeight="false" outlineLevel="0" collapsed="false">
      <c r="A4337" s="148" t="n">
        <v>45614</v>
      </c>
      <c r="B4337" s="37" t="n">
        <v>679.884826660156</v>
      </c>
    </row>
    <row r="4338" customFormat="false" ht="15" hidden="false" customHeight="false" outlineLevel="0" collapsed="false">
      <c r="A4338" s="148" t="n">
        <v>45615</v>
      </c>
      <c r="B4338" s="37" t="n">
        <v>699.881469726563</v>
      </c>
    </row>
    <row r="4339" customFormat="false" ht="15" hidden="false" customHeight="false" outlineLevel="0" collapsed="false">
      <c r="A4339" s="148" t="n">
        <v>45616</v>
      </c>
      <c r="B4339" s="37" t="n">
        <v>691.8828125</v>
      </c>
    </row>
    <row r="4340" customFormat="false" ht="15" hidden="false" customHeight="false" outlineLevel="0" collapsed="false">
      <c r="A4340" s="148" t="n">
        <v>45617</v>
      </c>
      <c r="B4340" s="37" t="n">
        <v>684.884033203125</v>
      </c>
    </row>
    <row r="4341" customFormat="false" ht="15" hidden="false" customHeight="false" outlineLevel="0" collapsed="false">
      <c r="A4341" s="148" t="n">
        <v>45618</v>
      </c>
      <c r="B4341" s="37" t="n">
        <v>684.884033203125</v>
      </c>
    </row>
    <row r="4342" customFormat="false" ht="15" hidden="false" customHeight="false" outlineLevel="0" collapsed="false">
      <c r="A4342" s="148" t="n">
        <v>45621</v>
      </c>
      <c r="B4342" s="37" t="n">
        <v>671.88623046875</v>
      </c>
    </row>
    <row r="4343" customFormat="false" ht="15" hidden="false" customHeight="false" outlineLevel="0" collapsed="false">
      <c r="A4343" s="148" t="n">
        <v>45622</v>
      </c>
      <c r="B4343" s="37" t="n">
        <v>684.884033203125</v>
      </c>
    </row>
    <row r="4344" customFormat="false" ht="15" hidden="false" customHeight="false" outlineLevel="0" collapsed="false">
      <c r="A4344" s="148" t="n">
        <v>45623</v>
      </c>
      <c r="B4344" s="37" t="n">
        <v>673.885864257813</v>
      </c>
    </row>
    <row r="4345" customFormat="false" ht="15" hidden="false" customHeight="false" outlineLevel="0" collapsed="false">
      <c r="A4345" s="148" t="n">
        <v>45624</v>
      </c>
      <c r="B4345" s="37" t="n">
        <v>699.881469726563</v>
      </c>
    </row>
    <row r="4346" customFormat="false" ht="15" hidden="false" customHeight="false" outlineLevel="0" collapsed="false">
      <c r="A4346" s="148" t="n">
        <v>45625</v>
      </c>
      <c r="B4346" s="37" t="n">
        <v>689.883178710938</v>
      </c>
    </row>
    <row r="4347" customFormat="false" ht="15" hidden="false" customHeight="false" outlineLevel="0" collapsed="false">
      <c r="A4347" s="148" t="n">
        <v>45628</v>
      </c>
      <c r="B4347" s="37" t="n">
        <v>689.883178710938</v>
      </c>
    </row>
    <row r="4348" customFormat="false" ht="15" hidden="false" customHeight="false" outlineLevel="0" collapsed="false">
      <c r="A4348" s="148" t="n">
        <v>45629</v>
      </c>
      <c r="B4348" s="37" t="n">
        <v>650.889770507813</v>
      </c>
    </row>
    <row r="4349" customFormat="false" ht="15" hidden="false" customHeight="false" outlineLevel="0" collapsed="false">
      <c r="A4349" s="148" t="n">
        <v>45630</v>
      </c>
      <c r="B4349" s="37" t="n">
        <v>659.888244628906</v>
      </c>
    </row>
    <row r="4350" customFormat="false" ht="15" hidden="false" customHeight="false" outlineLevel="0" collapsed="false">
      <c r="A4350" s="148" t="n">
        <v>45631</v>
      </c>
      <c r="B4350" s="37" t="n">
        <v>655.888916015625</v>
      </c>
    </row>
    <row r="4351" customFormat="false" ht="15" hidden="false" customHeight="false" outlineLevel="0" collapsed="false">
      <c r="A4351" s="148" t="n">
        <v>45632</v>
      </c>
      <c r="B4351" s="37" t="n">
        <v>650.889770507813</v>
      </c>
    </row>
    <row r="4352" customFormat="false" ht="15" hidden="false" customHeight="false" outlineLevel="0" collapsed="false">
      <c r="A4352" s="148" t="n">
        <v>45635</v>
      </c>
      <c r="B4352" s="37" t="n">
        <v>687.883483886719</v>
      </c>
    </row>
    <row r="4353" customFormat="false" ht="15" hidden="false" customHeight="false" outlineLevel="0" collapsed="false">
      <c r="A4353" s="148" t="n">
        <v>45636</v>
      </c>
      <c r="B4353" s="37" t="n">
        <v>687.883483886719</v>
      </c>
    </row>
    <row r="4354" customFormat="false" ht="15" hidden="false" customHeight="false" outlineLevel="0" collapsed="false">
      <c r="A4354" s="148" t="n">
        <v>45637</v>
      </c>
      <c r="B4354" s="37" t="n">
        <v>660.888061523438</v>
      </c>
    </row>
    <row r="4355" customFormat="false" ht="15" hidden="false" customHeight="false" outlineLevel="0" collapsed="false">
      <c r="A4355" s="148" t="n">
        <v>45638</v>
      </c>
      <c r="B4355" s="37" t="n">
        <v>639.8916015625</v>
      </c>
    </row>
    <row r="4356" customFormat="false" ht="15" hidden="false" customHeight="false" outlineLevel="0" collapsed="false">
      <c r="A4356" s="148" t="n">
        <v>45639</v>
      </c>
      <c r="B4356" s="37" t="n">
        <v>647.890258789063</v>
      </c>
    </row>
    <row r="4357" customFormat="false" ht="15" hidden="false" customHeight="false" outlineLevel="0" collapsed="false">
      <c r="A4357" s="148" t="n">
        <v>45643</v>
      </c>
      <c r="B4357" s="37" t="n">
        <v>651.889587402344</v>
      </c>
    </row>
    <row r="4358" customFormat="false" ht="15" hidden="false" customHeight="false" outlineLevel="0" collapsed="false">
      <c r="A4358" s="148" t="n">
        <v>45644</v>
      </c>
      <c r="B4358" s="37" t="n">
        <v>651.889587402344</v>
      </c>
    </row>
    <row r="4359" customFormat="false" ht="15" hidden="false" customHeight="false" outlineLevel="0" collapsed="false">
      <c r="A4359" s="148" t="n">
        <v>45645</v>
      </c>
      <c r="B4359" s="37" t="n">
        <v>603.897705078125</v>
      </c>
    </row>
    <row r="4360" customFormat="false" ht="15" hidden="false" customHeight="false" outlineLevel="0" collapsed="false">
      <c r="A4360" s="148" t="n">
        <v>45646</v>
      </c>
      <c r="B4360" s="37" t="n">
        <v>639.8916015625</v>
      </c>
    </row>
    <row r="4361" customFormat="false" ht="15" hidden="false" customHeight="false" outlineLevel="0" collapsed="false">
      <c r="A4361" s="148" t="n">
        <v>45649</v>
      </c>
      <c r="B4361" s="37" t="n">
        <v>629.893310546875</v>
      </c>
    </row>
    <row r="4362" customFormat="false" ht="15" hidden="false" customHeight="false" outlineLevel="0" collapsed="false">
      <c r="A4362" s="148" t="n">
        <v>45650</v>
      </c>
      <c r="B4362" s="37" t="n">
        <v>639.8916015625</v>
      </c>
    </row>
    <row r="4363" customFormat="false" ht="15" hidden="false" customHeight="false" outlineLevel="0" collapsed="false">
      <c r="A4363" s="148" t="n">
        <v>45653</v>
      </c>
      <c r="B4363" s="37" t="n">
        <v>639.8916015625</v>
      </c>
    </row>
    <row r="4364" customFormat="false" ht="15" hidden="false" customHeight="false" outlineLevel="0" collapsed="false">
      <c r="A4364" s="148" t="n">
        <v>45656</v>
      </c>
      <c r="B4364" s="37" t="n">
        <v>679.884826660156</v>
      </c>
    </row>
    <row r="4365" customFormat="false" ht="15" hidden="false" customHeight="false" outlineLevel="0" collapsed="false">
      <c r="A4365" s="148" t="n">
        <v>45657</v>
      </c>
      <c r="B4365" s="37" t="n">
        <v>669.886535644531</v>
      </c>
    </row>
    <row r="4366" customFormat="false" ht="15" hidden="false" customHeight="false" outlineLevel="0" collapsed="false">
      <c r="A4366" s="148" t="n">
        <v>45659</v>
      </c>
      <c r="B4366" s="37" t="n">
        <v>669.886535644531</v>
      </c>
    </row>
    <row r="4367" customFormat="false" ht="15" hidden="false" customHeight="false" outlineLevel="0" collapsed="false">
      <c r="A4367" s="148" t="n">
        <v>45660</v>
      </c>
      <c r="B4367" s="37" t="n">
        <v>649.889953613281</v>
      </c>
    </row>
    <row r="4368" customFormat="false" ht="15" hidden="false" customHeight="false" outlineLevel="0" collapsed="false">
      <c r="A4368" s="148" t="n">
        <v>45663</v>
      </c>
      <c r="B4368" s="37" t="n">
        <v>626.893798828125</v>
      </c>
    </row>
    <row r="4369" customFormat="false" ht="15" hidden="false" customHeight="false" outlineLevel="0" collapsed="false">
      <c r="A4369" s="148" t="n">
        <v>45664</v>
      </c>
      <c r="B4369" s="37" t="n">
        <v>639.8916015625</v>
      </c>
    </row>
    <row r="4370" customFormat="false" ht="15" hidden="false" customHeight="false" outlineLevel="0" collapsed="false">
      <c r="A4370" s="148" t="n">
        <v>45665</v>
      </c>
      <c r="B4370" s="37" t="n">
        <v>624.894165039063</v>
      </c>
    </row>
    <row r="4371" customFormat="false" ht="15" hidden="false" customHeight="false" outlineLevel="0" collapsed="false">
      <c r="A4371" s="148" t="n">
        <v>45666</v>
      </c>
      <c r="B4371" s="37" t="n">
        <v>624.894165039063</v>
      </c>
    </row>
    <row r="4372" customFormat="false" ht="15" hidden="false" customHeight="false" outlineLevel="0" collapsed="false">
      <c r="A4372" s="148" t="n">
        <v>45667</v>
      </c>
      <c r="B4372" s="37" t="n">
        <v>669.886535644531</v>
      </c>
    </row>
    <row r="4373" customFormat="false" ht="15" hidden="false" customHeight="false" outlineLevel="0" collapsed="false">
      <c r="A4373" s="148" t="n">
        <v>45670</v>
      </c>
      <c r="B4373" s="37" t="n">
        <v>629.893310546875</v>
      </c>
    </row>
    <row r="4374" customFormat="false" ht="15" hidden="false" customHeight="false" outlineLevel="0" collapsed="false">
      <c r="A4374" s="148" t="n">
        <v>45671</v>
      </c>
      <c r="B4374" s="37" t="n">
        <v>629.893310546875</v>
      </c>
    </row>
    <row r="4375" customFormat="false" ht="15" hidden="false" customHeight="false" outlineLevel="0" collapsed="false">
      <c r="A4375" s="148" t="n">
        <v>45672</v>
      </c>
      <c r="B4375" s="37" t="n">
        <v>629.893310546875</v>
      </c>
    </row>
    <row r="4376" customFormat="false" ht="15" hidden="false" customHeight="false" outlineLevel="0" collapsed="false">
      <c r="A4376" s="148" t="n">
        <v>45673</v>
      </c>
      <c r="B4376" s="37" t="n">
        <v>609.896728515625</v>
      </c>
    </row>
    <row r="4377" customFormat="false" ht="15" hidden="false" customHeight="false" outlineLevel="0" collapsed="false">
      <c r="A4377" s="148" t="n">
        <v>45674</v>
      </c>
      <c r="B4377" s="37" t="n">
        <v>619.89501953125</v>
      </c>
    </row>
    <row r="4378" customFormat="false" ht="15" hidden="false" customHeight="false" outlineLevel="0" collapsed="false">
      <c r="A4378" s="148" t="n">
        <v>45677</v>
      </c>
      <c r="B4378" s="37" t="n">
        <v>619.89501953125</v>
      </c>
    </row>
    <row r="4379" customFormat="false" ht="15" hidden="false" customHeight="false" outlineLevel="0" collapsed="false">
      <c r="A4379" s="148" t="n">
        <v>45678</v>
      </c>
      <c r="B4379" s="37" t="n">
        <v>614.895874023438</v>
      </c>
    </row>
    <row r="4380" customFormat="false" ht="15" hidden="false" customHeight="false" outlineLevel="0" collapsed="false">
      <c r="A4380" s="148" t="n">
        <v>45679</v>
      </c>
      <c r="B4380" s="37" t="n">
        <v>613.896057128906</v>
      </c>
    </row>
    <row r="4381" customFormat="false" ht="15" hidden="false" customHeight="false" outlineLevel="0" collapsed="false">
      <c r="A4381" s="148" t="n">
        <v>45680</v>
      </c>
      <c r="B4381" s="37" t="n">
        <v>604.897521972656</v>
      </c>
    </row>
    <row r="4382" customFormat="false" ht="15" hidden="false" customHeight="false" outlineLevel="0" collapsed="false">
      <c r="A4382" s="148" t="n">
        <v>45681</v>
      </c>
      <c r="B4382" s="37" t="n">
        <v>602.897888183594</v>
      </c>
    </row>
    <row r="4383" customFormat="false" ht="15" hidden="false" customHeight="false" outlineLevel="0" collapsed="false">
      <c r="A4383" s="148" t="n">
        <v>45684</v>
      </c>
      <c r="B4383" s="37" t="n">
        <v>599.898376464844</v>
      </c>
    </row>
    <row r="4384" customFormat="false" ht="15" hidden="false" customHeight="false" outlineLevel="0" collapsed="false">
      <c r="A4384" s="148" t="n">
        <v>45685</v>
      </c>
      <c r="B4384" s="37" t="n">
        <v>607.897033691406</v>
      </c>
    </row>
    <row r="4385" customFormat="false" ht="15" hidden="false" customHeight="false" outlineLevel="0" collapsed="false">
      <c r="A4385" s="148" t="n">
        <v>45686</v>
      </c>
      <c r="B4385" s="37" t="n">
        <v>599.898376464844</v>
      </c>
    </row>
    <row r="4386" customFormat="false" ht="15" hidden="false" customHeight="false" outlineLevel="0" collapsed="false">
      <c r="A4386" s="148" t="n">
        <v>45687</v>
      </c>
      <c r="B4386" s="37" t="n">
        <v>599.898376464844</v>
      </c>
    </row>
    <row r="4387" customFormat="false" ht="15" hidden="false" customHeight="false" outlineLevel="0" collapsed="false">
      <c r="A4387" s="148" t="n">
        <v>45688</v>
      </c>
      <c r="B4387" s="37" t="n">
        <v>599.898376464844</v>
      </c>
    </row>
    <row r="4388" customFormat="false" ht="15" hidden="false" customHeight="false" outlineLevel="0" collapsed="false">
      <c r="A4388" s="148" t="n">
        <v>45691</v>
      </c>
      <c r="B4388" s="37" t="n">
        <v>598.898559570313</v>
      </c>
    </row>
    <row r="4389" customFormat="false" ht="15" hidden="false" customHeight="false" outlineLevel="0" collapsed="false">
      <c r="A4389" s="148" t="n">
        <v>45692</v>
      </c>
      <c r="B4389" s="37" t="n">
        <v>599.898376464844</v>
      </c>
    </row>
    <row r="4390" customFormat="false" ht="15" hidden="false" customHeight="false" outlineLevel="0" collapsed="false">
      <c r="A4390" s="148" t="n">
        <v>45693</v>
      </c>
      <c r="B4390" s="37" t="n">
        <v>599.898376464844</v>
      </c>
    </row>
    <row r="4391" customFormat="false" ht="15" hidden="false" customHeight="false" outlineLevel="0" collapsed="false">
      <c r="A4391" s="148" t="n">
        <v>45694</v>
      </c>
      <c r="B4391" s="37" t="n">
        <v>579.901794433594</v>
      </c>
    </row>
    <row r="4392" customFormat="false" ht="15" hidden="false" customHeight="false" outlineLevel="0" collapsed="false">
      <c r="A4392" s="148" t="n">
        <v>45695</v>
      </c>
      <c r="B4392" s="37" t="n">
        <v>580.901611328125</v>
      </c>
    </row>
    <row r="4393" customFormat="false" ht="15" hidden="false" customHeight="false" outlineLevel="0" collapsed="false">
      <c r="A4393" s="148" t="n">
        <v>45698</v>
      </c>
      <c r="B4393" s="37" t="n">
        <v>579.901794433594</v>
      </c>
    </row>
    <row r="4394" customFormat="false" ht="15" hidden="false" customHeight="false" outlineLevel="0" collapsed="false">
      <c r="A4394" s="148" t="n">
        <v>45699</v>
      </c>
      <c r="B4394" s="37" t="n">
        <v>564.904296875</v>
      </c>
    </row>
    <row r="4395" customFormat="false" ht="15" hidden="false" customHeight="false" outlineLevel="0" collapsed="false">
      <c r="A4395" s="148" t="n">
        <v>45700</v>
      </c>
      <c r="B4395" s="37" t="n">
        <v>583.901123046875</v>
      </c>
    </row>
    <row r="4396" customFormat="false" ht="15" hidden="false" customHeight="false" outlineLevel="0" collapsed="false">
      <c r="A4396" s="148" t="n">
        <v>45701</v>
      </c>
      <c r="B4396" s="37" t="n">
        <v>569.903503417969</v>
      </c>
    </row>
    <row r="4397" customFormat="false" ht="15" hidden="false" customHeight="false" outlineLevel="0" collapsed="false">
      <c r="A4397" s="148" t="n">
        <v>45702</v>
      </c>
      <c r="B4397" s="37" t="n">
        <v>539.908569335938</v>
      </c>
    </row>
    <row r="4398" customFormat="false" ht="15" hidden="false" customHeight="false" outlineLevel="0" collapsed="false">
      <c r="A4398" s="148" t="n">
        <v>45705</v>
      </c>
      <c r="B4398" s="37" t="n">
        <v>534.909423828125</v>
      </c>
    </row>
    <row r="4399" customFormat="false" ht="15" hidden="false" customHeight="false" outlineLevel="0" collapsed="false">
      <c r="A4399" s="148" t="n">
        <v>45706</v>
      </c>
      <c r="B4399" s="37" t="n">
        <v>527.910583496094</v>
      </c>
    </row>
    <row r="4400" customFormat="false" ht="15" hidden="false" customHeight="false" outlineLevel="0" collapsed="false">
      <c r="A4400" s="148" t="n">
        <v>45707</v>
      </c>
      <c r="B4400" s="37" t="n">
        <v>479.918731689453</v>
      </c>
    </row>
    <row r="4401" customFormat="false" ht="15" hidden="false" customHeight="false" outlineLevel="0" collapsed="false">
      <c r="A4401" s="148" t="n">
        <v>45708</v>
      </c>
      <c r="B4401" s="37" t="n">
        <v>514.912780761719</v>
      </c>
    </row>
    <row r="4402" customFormat="false" ht="15" hidden="false" customHeight="false" outlineLevel="0" collapsed="false">
      <c r="A4402" s="148" t="n">
        <v>45709</v>
      </c>
      <c r="B4402" s="37" t="n">
        <v>517.912292480469</v>
      </c>
    </row>
    <row r="4403" customFormat="false" ht="15" hidden="false" customHeight="false" outlineLevel="0" collapsed="false">
      <c r="A4403" s="148" t="n">
        <v>45712</v>
      </c>
      <c r="B4403" s="37" t="n">
        <v>538.908752441406</v>
      </c>
    </row>
    <row r="4404" customFormat="false" ht="15" hidden="false" customHeight="false" outlineLevel="0" collapsed="false">
      <c r="A4404" s="148" t="n">
        <v>45713</v>
      </c>
      <c r="B4404" s="37" t="n">
        <v>536.909057617188</v>
      </c>
    </row>
    <row r="4405" customFormat="false" ht="15" hidden="false" customHeight="false" outlineLevel="0" collapsed="false">
      <c r="A4405" s="148" t="n">
        <v>45714</v>
      </c>
      <c r="B4405" s="37" t="n">
        <v>588.900268554688</v>
      </c>
    </row>
    <row r="4406" customFormat="false" ht="15" hidden="false" customHeight="false" outlineLevel="0" collapsed="false">
      <c r="A4406" s="148" t="n">
        <v>45715</v>
      </c>
      <c r="B4406" s="37" t="n">
        <v>573.902770996094</v>
      </c>
    </row>
    <row r="4407" customFormat="false" ht="15" hidden="false" customHeight="false" outlineLevel="0" collapsed="false">
      <c r="A4407" s="148" t="n">
        <v>45716</v>
      </c>
      <c r="B4407" s="37" t="n">
        <v>510.913482666016</v>
      </c>
    </row>
    <row r="4408" customFormat="false" ht="15" hidden="false" customHeight="false" outlineLevel="0" collapsed="false">
      <c r="A4408" s="148" t="n">
        <v>45719</v>
      </c>
      <c r="B4408" s="37" t="n">
        <v>529.910278320313</v>
      </c>
    </row>
    <row r="4409" customFormat="false" ht="15" hidden="false" customHeight="false" outlineLevel="0" collapsed="false">
      <c r="A4409" s="148" t="n">
        <v>45720</v>
      </c>
      <c r="B4409" s="37" t="n">
        <v>519.911926269531</v>
      </c>
    </row>
    <row r="4410" customFormat="false" ht="15" hidden="false" customHeight="false" outlineLevel="0" collapsed="false">
      <c r="A4410" s="148" t="n">
        <v>45721</v>
      </c>
      <c r="B4410" s="37" t="n">
        <v>518.912109375</v>
      </c>
    </row>
    <row r="4411" customFormat="false" ht="15" hidden="false" customHeight="false" outlineLevel="0" collapsed="false">
      <c r="A4411" s="148" t="n">
        <v>45722</v>
      </c>
      <c r="B4411" s="37" t="n">
        <v>514.912780761719</v>
      </c>
    </row>
    <row r="4412" customFormat="false" ht="15" hidden="false" customHeight="false" outlineLevel="0" collapsed="false">
      <c r="A4412" s="148" t="n">
        <v>45723</v>
      </c>
      <c r="B4412" s="37" t="n">
        <v>509.913635253906</v>
      </c>
    </row>
    <row r="4413" customFormat="false" ht="15" hidden="false" customHeight="false" outlineLevel="0" collapsed="false">
      <c r="A4413" s="148" t="n">
        <v>45726</v>
      </c>
      <c r="B4413" s="37" t="n">
        <v>524.911071777344</v>
      </c>
    </row>
    <row r="4414" customFormat="false" ht="15" hidden="false" customHeight="false" outlineLevel="0" collapsed="false">
      <c r="A4414" s="148" t="n">
        <v>45727</v>
      </c>
      <c r="B4414" s="37" t="n">
        <v>517.912292480469</v>
      </c>
    </row>
    <row r="4415" customFormat="false" ht="15" hidden="false" customHeight="false" outlineLevel="0" collapsed="false">
      <c r="A4415" s="148" t="n">
        <v>45728</v>
      </c>
      <c r="B4415" s="37" t="n">
        <v>517.912292480469</v>
      </c>
    </row>
    <row r="4416" customFormat="false" ht="15" hidden="false" customHeight="false" outlineLevel="0" collapsed="false">
      <c r="A4416" s="148" t="n">
        <v>45729</v>
      </c>
      <c r="B4416" s="37" t="n">
        <v>524.911071777344</v>
      </c>
    </row>
    <row r="4417" customFormat="false" ht="15" hidden="false" customHeight="false" outlineLevel="0" collapsed="false">
      <c r="A4417" s="148" t="n">
        <v>45730</v>
      </c>
      <c r="B4417" s="37" t="n">
        <v>547.9072265625</v>
      </c>
    </row>
    <row r="4418" customFormat="false" ht="15" hidden="false" customHeight="false" outlineLevel="0" collapsed="false">
      <c r="A4418" s="148" t="n">
        <v>45733</v>
      </c>
      <c r="B4418" s="37" t="n">
        <v>547.9072265625</v>
      </c>
    </row>
    <row r="4419" customFormat="false" ht="15" hidden="false" customHeight="false" outlineLevel="0" collapsed="false">
      <c r="A4419" s="148" t="n">
        <v>45734</v>
      </c>
      <c r="B4419" s="37" t="n">
        <v>523.911254882813</v>
      </c>
    </row>
    <row r="4420" customFormat="false" ht="15" hidden="false" customHeight="false" outlineLevel="0" collapsed="false">
      <c r="A4420" s="148" t="n">
        <v>45735</v>
      </c>
      <c r="B4420" s="37" t="n">
        <v>539.908569335938</v>
      </c>
    </row>
    <row r="4421" customFormat="false" ht="15" hidden="false" customHeight="false" outlineLevel="0" collapsed="false">
      <c r="A4421" s="148" t="n">
        <v>45736</v>
      </c>
      <c r="B4421" s="37" t="n">
        <v>539.908569335938</v>
      </c>
    </row>
    <row r="4422" customFormat="false" ht="15" hidden="false" customHeight="false" outlineLevel="0" collapsed="false">
      <c r="A4422" s="148" t="n">
        <v>45740</v>
      </c>
      <c r="B4422" s="37" t="n">
        <v>549.906860351563</v>
      </c>
    </row>
    <row r="4423" customFormat="false" ht="15" hidden="false" customHeight="false" outlineLevel="0" collapsed="false">
      <c r="A4423" s="148" t="n">
        <v>45741</v>
      </c>
      <c r="B4423" s="37" t="n">
        <v>548.907043457031</v>
      </c>
    </row>
    <row r="4424" customFormat="false" ht="15" hidden="false" customHeight="false" outlineLevel="0" collapsed="false">
      <c r="A4424" s="148" t="n">
        <v>45742</v>
      </c>
      <c r="B4424" s="37" t="n">
        <v>544.90771484375</v>
      </c>
    </row>
    <row r="4425" customFormat="false" ht="15" hidden="false" customHeight="false" outlineLevel="0" collapsed="false">
      <c r="A4425" s="148" t="n">
        <v>45743</v>
      </c>
      <c r="B4425" s="37" t="n">
        <v>548.907043457031</v>
      </c>
    </row>
    <row r="4426" customFormat="false" ht="15" hidden="false" customHeight="false" outlineLevel="0" collapsed="false">
      <c r="A4426" s="148" t="n">
        <v>45744</v>
      </c>
      <c r="B4426" s="37" t="n">
        <v>514.912780761719</v>
      </c>
    </row>
    <row r="4427" customFormat="false" ht="15" hidden="false" customHeight="false" outlineLevel="0" collapsed="false">
      <c r="A4427" s="148" t="n">
        <v>45747</v>
      </c>
      <c r="B4427" s="37" t="n">
        <v>539.908569335938</v>
      </c>
    </row>
    <row r="4428" customFormat="false" ht="15" hidden="false" customHeight="false" outlineLevel="0" collapsed="false">
      <c r="A4428" s="148" t="n">
        <v>45748</v>
      </c>
      <c r="B4428" s="37" t="n">
        <v>538.908752441406</v>
      </c>
    </row>
    <row r="4429" customFormat="false" ht="15" hidden="false" customHeight="false" outlineLevel="0" collapsed="false">
      <c r="A4429" s="148" t="n">
        <v>45749</v>
      </c>
      <c r="B4429" s="37" t="n">
        <v>538.908752441406</v>
      </c>
    </row>
    <row r="4430" customFormat="false" ht="15" hidden="false" customHeight="false" outlineLevel="0" collapsed="false">
      <c r="A4430" s="148" t="n">
        <v>45750</v>
      </c>
      <c r="B4430" s="37" t="n">
        <v>487.917358398438</v>
      </c>
    </row>
    <row r="4431" customFormat="false" ht="15" hidden="false" customHeight="false" outlineLevel="0" collapsed="false">
      <c r="A4431" s="148" t="n">
        <v>45751</v>
      </c>
      <c r="B4431" s="37" t="n">
        <v>513.912963867188</v>
      </c>
    </row>
    <row r="4432" customFormat="false" ht="15" hidden="false" customHeight="false" outlineLevel="0" collapsed="false">
      <c r="A4432" s="148" t="n">
        <v>45754</v>
      </c>
      <c r="B4432" s="37" t="n">
        <v>499.915344238281</v>
      </c>
    </row>
    <row r="4433" customFormat="false" ht="15" hidden="false" customHeight="false" outlineLevel="0" collapsed="false">
      <c r="A4433" s="148" t="n">
        <v>45755</v>
      </c>
      <c r="B4433" s="37" t="n">
        <v>509.913635253906</v>
      </c>
    </row>
    <row r="4434" customFormat="false" ht="15" hidden="false" customHeight="false" outlineLevel="0" collapsed="false">
      <c r="A4434" s="148" t="n">
        <v>45756</v>
      </c>
      <c r="B4434" s="37" t="n">
        <v>537.908874511719</v>
      </c>
    </row>
    <row r="4435" customFormat="false" ht="15" hidden="false" customHeight="false" outlineLevel="0" collapsed="false">
      <c r="A4435" s="148" t="n">
        <v>45757</v>
      </c>
      <c r="B4435" s="37" t="n">
        <v>505.914306640625</v>
      </c>
    </row>
    <row r="4436" customFormat="false" ht="15" hidden="false" customHeight="false" outlineLevel="0" collapsed="false">
      <c r="A4436" s="148" t="n">
        <v>45758</v>
      </c>
      <c r="B4436" s="37" t="n">
        <v>504.914489746094</v>
      </c>
    </row>
    <row r="4437" customFormat="false" ht="15" hidden="false" customHeight="false" outlineLevel="0" collapsed="false">
      <c r="A4437" s="148" t="n">
        <v>45761</v>
      </c>
      <c r="B4437" s="37" t="n">
        <v>528.910400390625</v>
      </c>
    </row>
    <row r="4438" customFormat="false" ht="15" hidden="false" customHeight="false" outlineLevel="0" collapsed="false">
      <c r="A4438" s="148" t="n">
        <v>45762</v>
      </c>
      <c r="B4438" s="37" t="n">
        <v>538.908752441406</v>
      </c>
    </row>
    <row r="4439" customFormat="false" ht="15" hidden="false" customHeight="false" outlineLevel="0" collapsed="false">
      <c r="A4439" s="148" t="n">
        <v>45763</v>
      </c>
      <c r="B4439" s="37" t="n">
        <v>524.911071777344</v>
      </c>
    </row>
    <row r="4440" customFormat="false" ht="15" hidden="false" customHeight="false" outlineLevel="0" collapsed="false">
      <c r="A4440" s="148" t="n">
        <v>45764</v>
      </c>
      <c r="B4440" s="37" t="n">
        <v>524.911071777344</v>
      </c>
    </row>
    <row r="4441" customFormat="false" ht="15" hidden="false" customHeight="false" outlineLevel="0" collapsed="false">
      <c r="A4441" s="148" t="n">
        <v>45769</v>
      </c>
      <c r="B4441" s="37" t="n">
        <v>484.917877197266</v>
      </c>
    </row>
    <row r="4442" customFormat="false" ht="15" hidden="false" customHeight="false" outlineLevel="0" collapsed="false">
      <c r="A4442" s="148" t="n">
        <v>45770</v>
      </c>
      <c r="B4442" s="37" t="n">
        <v>514.912780761719</v>
      </c>
    </row>
    <row r="4443" customFormat="false" ht="15" hidden="false" customHeight="false" outlineLevel="0" collapsed="false">
      <c r="A4443" s="148" t="n">
        <v>45771</v>
      </c>
      <c r="B4443" s="37" t="n">
        <v>513.912963867188</v>
      </c>
    </row>
    <row r="4444" customFormat="false" ht="15" hidden="false" customHeight="false" outlineLevel="0" collapsed="false">
      <c r="A4444" s="148" t="n">
        <v>45772</v>
      </c>
      <c r="B4444" s="37" t="n">
        <v>514.912780761719</v>
      </c>
    </row>
    <row r="4445" customFormat="false" ht="15" hidden="false" customHeight="false" outlineLevel="0" collapsed="false">
      <c r="A4445" s="148" t="n">
        <v>45776</v>
      </c>
      <c r="B4445" s="37" t="n">
        <v>513.912963867188</v>
      </c>
    </row>
    <row r="4446" customFormat="false" ht="15" hidden="false" customHeight="false" outlineLevel="0" collapsed="false">
      <c r="A4446" s="148" t="n">
        <v>45777</v>
      </c>
      <c r="B4446" s="37" t="n">
        <v>499.915344238281</v>
      </c>
    </row>
    <row r="4447" customFormat="false" ht="15" hidden="false" customHeight="false" outlineLevel="0" collapsed="false">
      <c r="A4447" s="148" t="n">
        <v>45779</v>
      </c>
      <c r="B4447" s="37" t="n">
        <v>535.909240722656</v>
      </c>
    </row>
    <row r="4448" customFormat="false" ht="15" hidden="false" customHeight="false" outlineLevel="0" collapsed="false">
      <c r="A4448" s="148" t="n">
        <v>45782</v>
      </c>
      <c r="B4448" s="37" t="n">
        <v>524.911071777344</v>
      </c>
    </row>
    <row r="4449" customFormat="false" ht="15" hidden="false" customHeight="false" outlineLevel="0" collapsed="false">
      <c r="A4449" s="148" t="n">
        <v>45783</v>
      </c>
      <c r="B4449" s="37" t="n">
        <v>528.910400390625</v>
      </c>
    </row>
    <row r="4450" customFormat="false" ht="15" hidden="false" customHeight="false" outlineLevel="0" collapsed="false">
      <c r="A4450" s="148" t="n">
        <v>45784</v>
      </c>
      <c r="B4450" s="37" t="n">
        <v>548.907043457031</v>
      </c>
    </row>
    <row r="4451" customFormat="false" ht="15" hidden="false" customHeight="false" outlineLevel="0" collapsed="false">
      <c r="A4451" s="148" t="n">
        <v>45785</v>
      </c>
      <c r="B4451" s="37" t="n">
        <v>574.902648925781</v>
      </c>
    </row>
    <row r="4452" customFormat="false" ht="15" hidden="false" customHeight="false" outlineLevel="0" collapsed="false">
      <c r="A4452" s="148" t="n">
        <v>45786</v>
      </c>
      <c r="B4452" s="37" t="n">
        <v>559.905151367188</v>
      </c>
    </row>
    <row r="4453" customFormat="false" ht="15" hidden="false" customHeight="false" outlineLevel="0" collapsed="false">
      <c r="A4453" s="148" t="n">
        <v>45789</v>
      </c>
      <c r="B4453" s="37" t="n">
        <v>499.915344238281</v>
      </c>
    </row>
    <row r="4454" customFormat="false" ht="15" hidden="false" customHeight="false" outlineLevel="0" collapsed="false">
      <c r="A4454" s="148" t="n">
        <v>45790</v>
      </c>
      <c r="B4454" s="37" t="n">
        <v>508.913818359375</v>
      </c>
    </row>
    <row r="4455" customFormat="false" ht="15" hidden="false" customHeight="false" outlineLevel="0" collapsed="false">
      <c r="A4455" s="148" t="n">
        <v>45791</v>
      </c>
      <c r="B4455" s="37" t="n">
        <v>507.913970947266</v>
      </c>
    </row>
    <row r="4456" customFormat="false" ht="15" hidden="false" customHeight="false" outlineLevel="0" collapsed="false">
      <c r="A4456" s="148" t="n">
        <v>45792</v>
      </c>
      <c r="B4456" s="37" t="n">
        <v>516.912475585938</v>
      </c>
    </row>
    <row r="4457" customFormat="false" ht="15" hidden="false" customHeight="false" outlineLevel="0" collapsed="false">
      <c r="A4457" s="148" t="n">
        <v>45793</v>
      </c>
      <c r="B4457" s="37" t="n">
        <v>509.913635253906</v>
      </c>
    </row>
    <row r="4458" customFormat="false" ht="15" hidden="false" customHeight="false" outlineLevel="0" collapsed="false">
      <c r="A4458" s="148" t="n">
        <v>45796</v>
      </c>
      <c r="B4458" s="37" t="n">
        <v>509.913635253906</v>
      </c>
    </row>
    <row r="4459" customFormat="false" ht="15" hidden="false" customHeight="false" outlineLevel="0" collapsed="false">
      <c r="A4459" s="148" t="n">
        <v>45797</v>
      </c>
      <c r="B4459" s="37" t="n">
        <v>499.915344238281</v>
      </c>
    </row>
    <row r="4460" customFormat="false" ht="15" hidden="false" customHeight="false" outlineLevel="0" collapsed="false">
      <c r="A4460" s="148" t="n">
        <v>45798</v>
      </c>
      <c r="B4460" s="37" t="n">
        <v>494.916168212891</v>
      </c>
    </row>
    <row r="4461" customFormat="false" ht="15" hidden="false" customHeight="false" outlineLevel="0" collapsed="false">
      <c r="A4461" s="148" t="n">
        <v>45799</v>
      </c>
      <c r="B4461" s="37" t="n">
        <v>489.917022705078</v>
      </c>
    </row>
    <row r="4462" customFormat="false" ht="15" hidden="false" customHeight="false" outlineLevel="0" collapsed="false">
      <c r="A4462" s="148" t="n">
        <v>45800</v>
      </c>
      <c r="B4462" s="37" t="n">
        <v>489.917022705078</v>
      </c>
    </row>
    <row r="4463" customFormat="false" ht="15" hidden="false" customHeight="false" outlineLevel="0" collapsed="false">
      <c r="A4463" s="148" t="n">
        <v>45803</v>
      </c>
      <c r="B4463" s="37" t="n">
        <v>480.918548583984</v>
      </c>
    </row>
    <row r="4464" customFormat="false" ht="15" hidden="false" customHeight="false" outlineLevel="0" collapsed="false">
      <c r="A4464" s="148" t="n">
        <v>45804</v>
      </c>
      <c r="B4464" s="37" t="n">
        <v>509.913635253906</v>
      </c>
    </row>
    <row r="4465" customFormat="false" ht="15" hidden="false" customHeight="false" outlineLevel="0" collapsed="false">
      <c r="A4465" s="148" t="n">
        <v>45805</v>
      </c>
      <c r="B4465" s="37" t="n">
        <v>498</v>
      </c>
    </row>
    <row r="4466" customFormat="false" ht="15" hidden="false" customHeight="false" outlineLevel="0" collapsed="false">
      <c r="A4466" s="148" t="n">
        <v>45806</v>
      </c>
      <c r="B4466" s="37" t="n">
        <v>515</v>
      </c>
    </row>
    <row r="4467" customFormat="false" ht="15" hidden="false" customHeight="false" outlineLevel="0" collapsed="false">
      <c r="A4467" s="148" t="n">
        <v>45807</v>
      </c>
      <c r="B4467" s="37" t="n">
        <v>540</v>
      </c>
    </row>
    <row r="4468" customFormat="false" ht="15" hidden="false" customHeight="false" outlineLevel="0" collapsed="false">
      <c r="A4468" s="148" t="n">
        <v>45810</v>
      </c>
      <c r="B4468" s="37" t="n">
        <v>540</v>
      </c>
    </row>
    <row r="4469" customFormat="false" ht="15" hidden="false" customHeight="false" outlineLevel="0" collapsed="false">
      <c r="A4469" s="148" t="n">
        <v>45811</v>
      </c>
      <c r="B4469" s="37" t="n">
        <v>540</v>
      </c>
    </row>
    <row r="4470" customFormat="false" ht="15" hidden="false" customHeight="false" outlineLevel="0" collapsed="false">
      <c r="A4470" s="148" t="n">
        <v>45812</v>
      </c>
      <c r="B4470" s="37" t="n">
        <v>540</v>
      </c>
    </row>
    <row r="4471" customFormat="false" ht="15" hidden="false" customHeight="false" outlineLevel="0" collapsed="false">
      <c r="A4471" s="148" t="n">
        <v>45813</v>
      </c>
      <c r="B4471" s="37" t="n">
        <v>506</v>
      </c>
    </row>
    <row r="4472" customFormat="false" ht="15" hidden="false" customHeight="false" outlineLevel="0" collapsed="false">
      <c r="A4472" s="148" t="n">
        <v>45814</v>
      </c>
      <c r="B4472" s="37" t="n">
        <v>539</v>
      </c>
    </row>
    <row r="4473" customFormat="false" ht="15" hidden="false" customHeight="false" outlineLevel="0" collapsed="false">
      <c r="A4473" s="148" t="n">
        <v>45817</v>
      </c>
      <c r="B4473" s="37" t="n">
        <v>529</v>
      </c>
    </row>
    <row r="4474" customFormat="false" ht="15" hidden="false" customHeight="false" outlineLevel="0" collapsed="false">
      <c r="A4474" s="148" t="n">
        <v>45818</v>
      </c>
      <c r="B4474" s="37" t="n">
        <v>538</v>
      </c>
    </row>
    <row r="4475" customFormat="false" ht="15" hidden="false" customHeight="false" outlineLevel="0" collapsed="false">
      <c r="A4475" s="148" t="n">
        <v>45819</v>
      </c>
      <c r="B4475" s="37" t="n">
        <v>526</v>
      </c>
    </row>
    <row r="4476" customFormat="false" ht="15" hidden="false" customHeight="false" outlineLevel="0" collapsed="false">
      <c r="A4476" s="148" t="n">
        <v>45820</v>
      </c>
      <c r="B4476" s="37" t="n">
        <v>528</v>
      </c>
    </row>
    <row r="4477" customFormat="false" ht="15" hidden="false" customHeight="false" outlineLevel="0" collapsed="false">
      <c r="A4477" s="148" t="n">
        <v>45821</v>
      </c>
      <c r="B4477" s="37" t="n">
        <v>527</v>
      </c>
    </row>
    <row r="4478" customFormat="false" ht="15" hidden="false" customHeight="false" outlineLevel="0" collapsed="false">
      <c r="A4478" s="148" t="n">
        <v>45825</v>
      </c>
      <c r="B4478" s="37" t="n">
        <v>528</v>
      </c>
    </row>
    <row r="4479" customFormat="false" ht="15" hidden="false" customHeight="false" outlineLevel="0" collapsed="false">
      <c r="A4479" s="148" t="n">
        <v>45826</v>
      </c>
      <c r="B4479" s="37" t="n">
        <v>512</v>
      </c>
    </row>
    <row r="4480" customFormat="false" ht="15" hidden="false" customHeight="false" outlineLevel="0" collapsed="false">
      <c r="A4480" s="148" t="n">
        <v>45827</v>
      </c>
      <c r="B4480" s="37" t="n">
        <v>512</v>
      </c>
    </row>
    <row r="4481" customFormat="false" ht="15" hidden="false" customHeight="false" outlineLevel="0" collapsed="false">
      <c r="A4481" s="148" t="n">
        <v>45828</v>
      </c>
      <c r="B4481" s="37" t="n">
        <v>518</v>
      </c>
    </row>
    <row r="4482" customFormat="false" ht="15" hidden="false" customHeight="false" outlineLevel="0" collapsed="false">
      <c r="A4482" s="148" t="n">
        <v>45831</v>
      </c>
      <c r="B4482" s="37" t="n">
        <v>500</v>
      </c>
    </row>
    <row r="4483" customFormat="false" ht="15" hidden="false" customHeight="false" outlineLevel="0" collapsed="false">
      <c r="A4483" s="148" t="n">
        <v>45832</v>
      </c>
      <c r="B4483" s="37" t="n">
        <v>515</v>
      </c>
    </row>
    <row r="4484" customFormat="false" ht="15" hidden="false" customHeight="false" outlineLevel="0" collapsed="false">
      <c r="A4484" s="148" t="n">
        <v>45833</v>
      </c>
      <c r="B4484" s="37" t="n">
        <v>500</v>
      </c>
    </row>
    <row r="4485" customFormat="false" ht="15" hidden="false" customHeight="false" outlineLevel="0" collapsed="false">
      <c r="A4485" s="148" t="n">
        <v>45834</v>
      </c>
      <c r="B4485" s="37" t="n">
        <v>516</v>
      </c>
    </row>
    <row r="4486" customFormat="false" ht="15" hidden="false" customHeight="false" outlineLevel="0" collapsed="false">
      <c r="A4486" s="148" t="n">
        <v>45835</v>
      </c>
      <c r="B4486" s="37" t="n">
        <v>500</v>
      </c>
    </row>
    <row r="4487" customFormat="false" ht="15" hidden="false" customHeight="false" outlineLevel="0" collapsed="false">
      <c r="A4487" s="148" t="n">
        <v>45838</v>
      </c>
      <c r="B4487" s="37" t="n">
        <v>490</v>
      </c>
    </row>
    <row r="4488" customFormat="false" ht="15" hidden="false" customHeight="false" outlineLevel="0" collapsed="false">
      <c r="A4488" s="148" t="n">
        <v>45839</v>
      </c>
      <c r="B4488" s="37" t="n">
        <v>500</v>
      </c>
    </row>
    <row r="4489" customFormat="false" ht="15" hidden="false" customHeight="false" outlineLevel="0" collapsed="false">
      <c r="A4489" s="148" t="n">
        <v>45840</v>
      </c>
      <c r="B4489" s="37" t="n">
        <v>480</v>
      </c>
    </row>
    <row r="4490" customFormat="false" ht="15" hidden="false" customHeight="false" outlineLevel="0" collapsed="false">
      <c r="A4490" s="148" t="n">
        <v>45841</v>
      </c>
      <c r="B4490" s="37" t="n">
        <v>500</v>
      </c>
    </row>
    <row r="4491" customFormat="false" ht="15" hidden="false" customHeight="false" outlineLevel="0" collapsed="false">
      <c r="A4491" s="148" t="n">
        <v>45842</v>
      </c>
      <c r="B4491" s="37" t="n">
        <v>510</v>
      </c>
    </row>
    <row r="4492" customFormat="false" ht="15" hidden="false" customHeight="false" outlineLevel="0" collapsed="false">
      <c r="A4492" s="148" t="n">
        <v>45845</v>
      </c>
      <c r="B4492" s="37" t="n">
        <v>515</v>
      </c>
    </row>
    <row r="4493" customFormat="false" ht="15" hidden="false" customHeight="false" outlineLevel="0" collapsed="false">
      <c r="A4493" s="148" t="n">
        <v>45846</v>
      </c>
      <c r="B4493" s="37" t="n">
        <v>508</v>
      </c>
    </row>
    <row r="4494" customFormat="false" ht="15" hidden="false" customHeight="false" outlineLevel="0" collapsed="false">
      <c r="A4494" s="148" t="n">
        <v>45847</v>
      </c>
      <c r="B4494" s="37" t="n">
        <v>508</v>
      </c>
    </row>
    <row r="4495" customFormat="false" ht="15" hidden="false" customHeight="false" outlineLevel="0" collapsed="false">
      <c r="A4495" s="148" t="n">
        <v>45848</v>
      </c>
      <c r="B4495" s="37" t="n">
        <v>505</v>
      </c>
    </row>
    <row r="4496" customFormat="false" ht="15" hidden="false" customHeight="false" outlineLevel="0" collapsed="false">
      <c r="A4496" s="148" t="n">
        <v>45849</v>
      </c>
      <c r="B4496" s="37" t="n">
        <v>505</v>
      </c>
    </row>
    <row r="4497" customFormat="false" ht="15" hidden="false" customHeight="false" outlineLevel="0" collapsed="false">
      <c r="A4497" s="148" t="n">
        <v>45852</v>
      </c>
      <c r="B4497" s="37" t="n">
        <v>505</v>
      </c>
    </row>
    <row r="4498" customFormat="false" ht="15" hidden="false" customHeight="false" outlineLevel="0" collapsed="false">
      <c r="A4498" s="148" t="n">
        <v>45853</v>
      </c>
      <c r="B4498" s="37" t="n">
        <v>505</v>
      </c>
    </row>
    <row r="4499" customFormat="false" ht="15" hidden="false" customHeight="false" outlineLevel="0" collapsed="false">
      <c r="A4499" s="148" t="n">
        <v>45854</v>
      </c>
      <c r="B4499" s="37" t="n">
        <v>515</v>
      </c>
    </row>
    <row r="4500" customFormat="false" ht="15" hidden="false" customHeight="false" outlineLevel="0" collapsed="false">
      <c r="A4500" s="148" t="n">
        <v>45855</v>
      </c>
      <c r="B4500" s="37" t="n">
        <v>510</v>
      </c>
    </row>
    <row r="4501" customFormat="false" ht="15" hidden="false" customHeight="false" outlineLevel="0" collapsed="false">
      <c r="A4501" s="148" t="n">
        <v>45856</v>
      </c>
      <c r="B4501" s="37" t="n">
        <v>496</v>
      </c>
    </row>
    <row r="4502" customFormat="false" ht="15" hidden="false" customHeight="false" outlineLevel="0" collapsed="false">
      <c r="A4502" s="148" t="n">
        <v>45859</v>
      </c>
      <c r="B4502" s="37" t="n">
        <v>505</v>
      </c>
    </row>
    <row r="4503" customFormat="false" ht="15" hidden="false" customHeight="false" outlineLevel="0" collapsed="false">
      <c r="A4503" s="148" t="n">
        <v>45860</v>
      </c>
      <c r="B4503" s="37" t="n">
        <v>498</v>
      </c>
    </row>
    <row r="4504" customFormat="false" ht="15" hidden="false" customHeight="false" outlineLevel="0" collapsed="false">
      <c r="A4504" s="148" t="n">
        <v>45861</v>
      </c>
      <c r="B4504" s="37" t="n">
        <v>499</v>
      </c>
    </row>
    <row r="4505" customFormat="false" ht="15" hidden="false" customHeight="false" outlineLevel="0" collapsed="false">
      <c r="A4505" s="148" t="n">
        <v>45862</v>
      </c>
      <c r="B4505" s="37" t="n">
        <v>495</v>
      </c>
    </row>
    <row r="4506" customFormat="false" ht="15" hidden="false" customHeight="false" outlineLevel="0" collapsed="false">
      <c r="A4506" s="148" t="n">
        <v>45863</v>
      </c>
      <c r="B4506" s="37" t="n">
        <v>495</v>
      </c>
    </row>
    <row r="4507" customFormat="false" ht="15" hidden="false" customHeight="false" outlineLevel="0" collapsed="false">
      <c r="A4507" s="148" t="n">
        <v>45866</v>
      </c>
      <c r="B4507" s="37" t="n">
        <v>496</v>
      </c>
    </row>
    <row r="4508" customFormat="false" ht="15" hidden="false" customHeight="false" outlineLevel="0" collapsed="false">
      <c r="A4508" s="148" t="n">
        <v>45867</v>
      </c>
      <c r="B4508" s="37" t="n">
        <v>494</v>
      </c>
    </row>
    <row r="4509" customFormat="false" ht="15" hidden="false" customHeight="false" outlineLevel="0" collapsed="false">
      <c r="A4509" s="148" t="n">
        <v>45868</v>
      </c>
      <c r="B4509" s="37" t="n">
        <v>499</v>
      </c>
    </row>
    <row r="4510" customFormat="false" ht="15" hidden="false" customHeight="false" outlineLevel="0" collapsed="false">
      <c r="A4510" s="148" t="n">
        <v>45869</v>
      </c>
      <c r="B4510" s="37" t="n">
        <v>518</v>
      </c>
    </row>
    <row r="4511" customFormat="false" ht="15" hidden="false" customHeight="false" outlineLevel="0" collapsed="false">
      <c r="A4511" s="148" t="n">
        <v>45870</v>
      </c>
      <c r="B4511" s="37" t="n">
        <v>518</v>
      </c>
    </row>
    <row r="4512" customFormat="false" ht="15" hidden="false" customHeight="false" outlineLevel="0" collapsed="false">
      <c r="A4512" s="148" t="n">
        <v>45873</v>
      </c>
      <c r="B4512" s="37" t="n">
        <v>517</v>
      </c>
    </row>
    <row r="4513" customFormat="false" ht="15" hidden="false" customHeight="false" outlineLevel="0" collapsed="false">
      <c r="A4513" s="148" t="n">
        <v>45874</v>
      </c>
      <c r="B4513" s="37" t="n">
        <v>504</v>
      </c>
    </row>
    <row r="4514" customFormat="false" ht="15" hidden="false" customHeight="false" outlineLevel="0" collapsed="false">
      <c r="A4514" s="148" t="n">
        <v>45875</v>
      </c>
      <c r="B4514" s="37" t="n">
        <v>505</v>
      </c>
    </row>
    <row r="4515" customFormat="false" ht="15" hidden="false" customHeight="false" outlineLevel="0" collapsed="false">
      <c r="A4515" s="148" t="n">
        <v>45876</v>
      </c>
      <c r="B4515" s="37" t="n">
        <v>500</v>
      </c>
    </row>
    <row r="4516" customFormat="false" ht="15" hidden="false" customHeight="false" outlineLevel="0" collapsed="false">
      <c r="A4516" s="148" t="n">
        <v>45877</v>
      </c>
      <c r="B4516" s="37" t="n">
        <v>495</v>
      </c>
    </row>
    <row r="4517" customFormat="false" ht="15" hidden="false" customHeight="false" outlineLevel="0" collapsed="false">
      <c r="A4517" s="148" t="n">
        <v>45880</v>
      </c>
      <c r="B4517" s="37" t="n">
        <v>500</v>
      </c>
    </row>
    <row r="4518" customFormat="false" ht="15" hidden="false" customHeight="false" outlineLevel="0" collapsed="false">
      <c r="A4518" s="148" t="n">
        <v>45881</v>
      </c>
      <c r="B4518" s="37" t="n">
        <v>488</v>
      </c>
    </row>
    <row r="4519" customFormat="false" ht="15" hidden="false" customHeight="false" outlineLevel="0" collapsed="false">
      <c r="A4519" s="148" t="n">
        <v>45882</v>
      </c>
      <c r="B4519" s="37" t="n">
        <v>496</v>
      </c>
    </row>
    <row r="4520" customFormat="false" ht="15" hidden="false" customHeight="false" outlineLevel="0" collapsed="false">
      <c r="A4520" s="148" t="n">
        <v>45883</v>
      </c>
      <c r="B4520" s="37" t="n">
        <v>490</v>
      </c>
    </row>
    <row r="4521" customFormat="false" ht="15" hidden="false" customHeight="false" outlineLevel="0" collapsed="false">
      <c r="A4521" s="148" t="n">
        <v>45884</v>
      </c>
      <c r="B4521" s="37" t="n">
        <v>500</v>
      </c>
    </row>
    <row r="4522" customFormat="false" ht="15" hidden="false" customHeight="false" outlineLevel="0" collapsed="false">
      <c r="A4522" s="148" t="n">
        <v>45887</v>
      </c>
      <c r="B4522" s="37" t="n">
        <v>499</v>
      </c>
    </row>
    <row r="4523" customFormat="false" ht="15" hidden="false" customHeight="false" outlineLevel="0" collapsed="false">
      <c r="A4523" s="148" t="n">
        <v>45888</v>
      </c>
      <c r="B4523" s="37" t="n">
        <v>493</v>
      </c>
    </row>
    <row r="4524" customFormat="false" ht="15" hidden="false" customHeight="false" outlineLevel="0" collapsed="false">
      <c r="A4524" s="148" t="n">
        <v>45889</v>
      </c>
      <c r="B4524" s="37" t="n">
        <v>515</v>
      </c>
    </row>
    <row r="4525" customFormat="false" ht="15" hidden="false" customHeight="false" outlineLevel="0" collapsed="false">
      <c r="A4525" s="148" t="n">
        <v>45890</v>
      </c>
      <c r="B4525" s="37" t="n">
        <v>510</v>
      </c>
    </row>
    <row r="4526" customFormat="false" ht="15" hidden="false" customHeight="false" outlineLevel="0" collapsed="false">
      <c r="A4526" s="148" t="n">
        <v>45891</v>
      </c>
      <c r="B4526" s="37" t="n">
        <v>505</v>
      </c>
    </row>
    <row r="4527" customFormat="false" ht="15" hidden="false" customHeight="false" outlineLevel="0" collapsed="false">
      <c r="A4527" s="148" t="n">
        <v>45894</v>
      </c>
      <c r="B4527" s="37" t="n">
        <v>503</v>
      </c>
    </row>
    <row r="4528" customFormat="false" ht="15" hidden="false" customHeight="false" outlineLevel="0" collapsed="false">
      <c r="A4528" s="148" t="n">
        <v>45895</v>
      </c>
      <c r="B4528" s="37" t="n">
        <v>496</v>
      </c>
    </row>
    <row r="4529" customFormat="false" ht="15" hidden="false" customHeight="false" outlineLevel="0" collapsed="false">
      <c r="A4529" s="148" t="n">
        <v>45896</v>
      </c>
      <c r="B4529" s="37" t="n">
        <v>490</v>
      </c>
    </row>
    <row r="4530" customFormat="false" ht="15" hidden="false" customHeight="false" outlineLevel="0" collapsed="false">
      <c r="A4530" s="148" t="n">
        <v>45897</v>
      </c>
      <c r="B4530" s="37" t="n">
        <v>500</v>
      </c>
    </row>
    <row r="4531" customFormat="false" ht="15" hidden="false" customHeight="false" outlineLevel="0" collapsed="false">
      <c r="A4531" s="148" t="n">
        <v>45898</v>
      </c>
      <c r="B4531" s="37" t="n">
        <v>498</v>
      </c>
    </row>
    <row r="4532" customFormat="false" ht="15" hidden="false" customHeight="false" outlineLevel="0" collapsed="false">
      <c r="A4532" s="148" t="n">
        <v>45901</v>
      </c>
      <c r="B4532" s="37" t="n">
        <v>490</v>
      </c>
    </row>
    <row r="4533" customFormat="false" ht="15" hidden="false" customHeight="false" outlineLevel="0" collapsed="false">
      <c r="A4533" s="148" t="n">
        <v>45902</v>
      </c>
      <c r="B4533" s="37" t="n">
        <v>500</v>
      </c>
    </row>
    <row r="4534" customFormat="false" ht="15" hidden="false" customHeight="false" outlineLevel="0" collapsed="false">
      <c r="A4534" s="148" t="n">
        <v>45903</v>
      </c>
      <c r="B4534" s="37" t="n">
        <v>499</v>
      </c>
    </row>
    <row r="4535" customFormat="false" ht="15" hidden="false" customHeight="false" outlineLevel="0" collapsed="false">
      <c r="A4535" s="148" t="n">
        <v>45904</v>
      </c>
      <c r="B4535" s="37" t="n">
        <v>495</v>
      </c>
    </row>
    <row r="4536" customFormat="false" ht="15" hidden="false" customHeight="false" outlineLevel="0" collapsed="false">
      <c r="A4536" s="148" t="n">
        <v>45905</v>
      </c>
      <c r="B4536" s="37" t="n">
        <v>495</v>
      </c>
    </row>
    <row r="4537" customFormat="false" ht="15" hidden="false" customHeight="false" outlineLevel="0" collapsed="false">
      <c r="A4537" s="148" t="n">
        <v>45908</v>
      </c>
      <c r="B4537" s="37" t="n">
        <v>497</v>
      </c>
    </row>
    <row r="4538" customFormat="false" ht="15" hidden="false" customHeight="false" outlineLevel="0" collapsed="false">
      <c r="A4538" s="148" t="n">
        <v>45909</v>
      </c>
      <c r="B4538" s="37" t="n">
        <v>497</v>
      </c>
    </row>
    <row r="4539" customFormat="false" ht="15" hidden="false" customHeight="false" outlineLevel="0" collapsed="false">
      <c r="A4539" s="148" t="n">
        <v>45910</v>
      </c>
      <c r="B4539" s="37" t="n">
        <v>495</v>
      </c>
    </row>
    <row r="4540" customFormat="false" ht="15" hidden="false" customHeight="false" outlineLevel="0" collapsed="false">
      <c r="A4540" s="148" t="n">
        <v>45911</v>
      </c>
      <c r="B4540" s="37" t="n">
        <v>495</v>
      </c>
    </row>
    <row r="4541" customFormat="false" ht="15" hidden="false" customHeight="false" outlineLevel="0" collapsed="false">
      <c r="A4541" s="148" t="n">
        <v>45912</v>
      </c>
      <c r="B4541" s="37" t="n">
        <v>495</v>
      </c>
    </row>
    <row r="4542" customFormat="false" ht="15" hidden="false" customHeight="false" outlineLevel="0" collapsed="false">
      <c r="A4542" s="148" t="n">
        <v>45915</v>
      </c>
      <c r="B4542" s="37" t="n">
        <v>485</v>
      </c>
    </row>
    <row r="4543" customFormat="false" ht="15" hidden="false" customHeight="false" outlineLevel="0" collapsed="false">
      <c r="A4543" s="148" t="n">
        <v>45916</v>
      </c>
      <c r="B4543" s="37" t="n">
        <v>489</v>
      </c>
    </row>
    <row r="4544" customFormat="false" ht="15" hidden="false" customHeight="false" outlineLevel="0" collapsed="false">
      <c r="A4544" s="148" t="n">
        <v>45917</v>
      </c>
      <c r="B4544" s="37" t="n">
        <v>489</v>
      </c>
    </row>
    <row r="4545" customFormat="false" ht="15" hidden="false" customHeight="false" outlineLevel="0" collapsed="false">
      <c r="A4545" s="148" t="n">
        <v>45918</v>
      </c>
      <c r="B4545" s="37" t="n">
        <v>481</v>
      </c>
    </row>
    <row r="4546" customFormat="false" ht="15" hidden="false" customHeight="false" outlineLevel="0" collapsed="false">
      <c r="A4546" s="148" t="n">
        <v>45919</v>
      </c>
      <c r="B4546" s="37" t="n">
        <v>482</v>
      </c>
    </row>
    <row r="4547" customFormat="false" ht="15" hidden="false" customHeight="false" outlineLevel="0" collapsed="false">
      <c r="A4547" s="148" t="n">
        <v>45922</v>
      </c>
      <c r="B4547" s="37" t="n">
        <v>481</v>
      </c>
    </row>
    <row r="4548" customFormat="false" ht="15" hidden="false" customHeight="false" outlineLevel="0" collapsed="false">
      <c r="A4548" s="148" t="n">
        <v>45923</v>
      </c>
      <c r="B4548" s="37" t="n">
        <v>480</v>
      </c>
    </row>
    <row r="4549" customFormat="false" ht="15" hidden="false" customHeight="false" outlineLevel="0" collapsed="false">
      <c r="A4549" s="148" t="n">
        <v>45925</v>
      </c>
      <c r="B4549" s="37" t="n">
        <v>480</v>
      </c>
    </row>
    <row r="4550" customFormat="false" ht="15" hidden="false" customHeight="false" outlineLevel="0" collapsed="false">
      <c r="A4550" s="148" t="n">
        <v>45926</v>
      </c>
      <c r="B4550" s="37" t="n">
        <v>488</v>
      </c>
    </row>
    <row r="4551" customFormat="false" ht="15" hidden="false" customHeight="false" outlineLevel="0" collapsed="false">
      <c r="A4551" s="148" t="n">
        <v>45929</v>
      </c>
      <c r="B4551" s="37" t="n">
        <v>476</v>
      </c>
    </row>
    <row r="4552" customFormat="false" ht="15" hidden="false" customHeight="false" outlineLevel="0" collapsed="false">
      <c r="A4552" s="148" t="n">
        <v>45930</v>
      </c>
      <c r="B4552" s="37" t="n">
        <v>489</v>
      </c>
    </row>
    <row r="4553" customFormat="false" ht="15" hidden="false" customHeight="false" outlineLevel="0" collapsed="false">
      <c r="A4553" s="148" t="n">
        <v>45931</v>
      </c>
      <c r="B4553" s="37" t="n">
        <v>484</v>
      </c>
    </row>
    <row r="4554" customFormat="false" ht="15" hidden="false" customHeight="false" outlineLevel="0" collapsed="false">
      <c r="A4554" s="148" t="n">
        <v>45932</v>
      </c>
      <c r="B4554" s="37" t="n">
        <v>492</v>
      </c>
    </row>
    <row r="4555" customFormat="false" ht="15" hidden="false" customHeight="false" outlineLevel="0" collapsed="false">
      <c r="A4555" s="148" t="n">
        <v>45933</v>
      </c>
      <c r="B4555" s="37" t="n">
        <v>483</v>
      </c>
    </row>
    <row r="4556" customFormat="false" ht="15" hidden="false" customHeight="false" outlineLevel="0" collapsed="false">
      <c r="A4556" s="148" t="n">
        <v>45936</v>
      </c>
      <c r="B4556" s="37" t="n">
        <v>483</v>
      </c>
    </row>
    <row r="4557" customFormat="false" ht="15" hidden="false" customHeight="false" outlineLevel="0" collapsed="false">
      <c r="A4557" s="148" t="n">
        <v>45937</v>
      </c>
      <c r="B4557" s="37" t="n">
        <v>494</v>
      </c>
    </row>
    <row r="4558" customFormat="false" ht="15" hidden="false" customHeight="false" outlineLevel="0" collapsed="false">
      <c r="A4558" s="148" t="n">
        <v>45938</v>
      </c>
      <c r="B4558" s="37" t="n">
        <v>501</v>
      </c>
    </row>
    <row r="4559" customFormat="false" ht="15" hidden="false" customHeight="false" outlineLevel="0" collapsed="false">
      <c r="A4559" s="148" t="n">
        <v>45939</v>
      </c>
      <c r="B4559" s="37" t="n">
        <v>537</v>
      </c>
    </row>
    <row r="4560" customFormat="false" ht="15" hidden="false" customHeight="false" outlineLevel="0" collapsed="false">
      <c r="A4560" s="148" t="n">
        <v>45940</v>
      </c>
      <c r="B4560" s="37" t="n">
        <v>556</v>
      </c>
    </row>
    <row r="4561" customFormat="false" ht="15" hidden="false" customHeight="false" outlineLevel="0" collapsed="false">
      <c r="A4561" s="148" t="n">
        <v>45943</v>
      </c>
      <c r="B4561" s="37" t="n">
        <v>526</v>
      </c>
    </row>
    <row r="4562" customFormat="false" ht="15" hidden="false" customHeight="false" outlineLevel="0" collapsed="false">
      <c r="A4562" s="148" t="n">
        <v>45944</v>
      </c>
      <c r="B4562" s="37" t="n">
        <v>526</v>
      </c>
    </row>
    <row r="4563" customFormat="false" ht="15" hidden="false" customHeight="false" outlineLevel="0" collapsed="false">
      <c r="A4563" s="148" t="n">
        <v>45945</v>
      </c>
      <c r="B4563" s="37" t="n">
        <v>525</v>
      </c>
    </row>
    <row r="4564" customFormat="false" ht="15" hidden="false" customHeight="false" outlineLevel="0" collapsed="false">
      <c r="A4564" s="148" t="n">
        <v>45946</v>
      </c>
      <c r="B4564" s="37" t="n">
        <v>550</v>
      </c>
    </row>
    <row r="4565" customFormat="false" ht="15" hidden="false" customHeight="false" outlineLevel="0" collapsed="false">
      <c r="A4565" s="148" t="n">
        <v>45947</v>
      </c>
      <c r="B4565" s="37" t="n">
        <v>520</v>
      </c>
    </row>
    <row r="4566" customFormat="false" ht="15" hidden="false" customHeight="false" outlineLevel="0" collapsed="false">
      <c r="A4566" s="148" t="n">
        <v>45950</v>
      </c>
      <c r="B4566" s="37" t="n">
        <v>520</v>
      </c>
    </row>
    <row r="4567" customFormat="false" ht="15" hidden="false" customHeight="false" outlineLevel="0" collapsed="false">
      <c r="A4567" s="148" t="n">
        <v>45951</v>
      </c>
      <c r="B4567" s="37" t="n">
        <v>508</v>
      </c>
    </row>
    <row r="4568" customFormat="false" ht="15" hidden="false" customHeight="false" outlineLevel="0" collapsed="false">
      <c r="A4568" s="148" t="n">
        <v>45952</v>
      </c>
      <c r="B4568" s="37" t="n">
        <v>506</v>
      </c>
    </row>
    <row r="4569" customFormat="false" ht="15" hidden="false" customHeight="false" outlineLevel="0" collapsed="false">
      <c r="A4569" s="148" t="n">
        <v>45953</v>
      </c>
      <c r="B4569" s="37" t="n">
        <v>506</v>
      </c>
    </row>
    <row r="4570" customFormat="false" ht="15" hidden="false" customHeight="false" outlineLevel="0" collapsed="false">
      <c r="A4570" s="148" t="n">
        <v>45954</v>
      </c>
      <c r="B4570" s="37" t="n">
        <v>494</v>
      </c>
    </row>
    <row r="4571" customFormat="false" ht="15" hidden="false" customHeight="false" outlineLevel="0" collapsed="false">
      <c r="A4571" s="148" t="n">
        <v>45957</v>
      </c>
      <c r="B4571" s="37" t="n">
        <v>501</v>
      </c>
    </row>
    <row r="4572" customFormat="false" ht="15" hidden="false" customHeight="false" outlineLevel="0" collapsed="false">
      <c r="A4572" s="148" t="n">
        <v>45958</v>
      </c>
      <c r="B4572" s="37" t="n">
        <v>504</v>
      </c>
    </row>
    <row r="4573" customFormat="false" ht="15" hidden="false" customHeight="false" outlineLevel="0" collapsed="false">
      <c r="A4573" s="148" t="n">
        <v>45959</v>
      </c>
      <c r="B4573" s="37" t="n">
        <v>505</v>
      </c>
    </row>
    <row r="4574" customFormat="false" ht="15" hidden="false" customHeight="false" outlineLevel="0" collapsed="false">
      <c r="A4574" s="148" t="n">
        <v>45960</v>
      </c>
      <c r="B4574" s="37" t="n">
        <v>490</v>
      </c>
    </row>
    <row r="4575" customFormat="false" ht="15" hidden="false" customHeight="false" outlineLevel="0" collapsed="false">
      <c r="A4575" s="148" t="n">
        <v>45961</v>
      </c>
      <c r="B4575" s="37" t="n">
        <v>503</v>
      </c>
    </row>
    <row r="4576" customFormat="false" ht="15" hidden="false" customHeight="false" outlineLevel="0" collapsed="false">
      <c r="A4576" s="148" t="n">
        <v>45964</v>
      </c>
      <c r="B4576" s="37" t="n">
        <v>500</v>
      </c>
    </row>
    <row r="4577" customFormat="false" ht="15" hidden="false" customHeight="false" outlineLevel="0" collapsed="false">
      <c r="A4577" s="148" t="n">
        <v>45965</v>
      </c>
      <c r="B4577" s="37" t="n">
        <v>508</v>
      </c>
    </row>
    <row r="4578" customFormat="false" ht="15" hidden="false" customHeight="false" outlineLevel="0" collapsed="false">
      <c r="A4578" s="148" t="n">
        <v>45966</v>
      </c>
      <c r="B4578" s="37" t="n">
        <v>523</v>
      </c>
    </row>
    <row r="4579" customFormat="false" ht="15" hidden="false" customHeight="false" outlineLevel="0" collapsed="false">
      <c r="A4579" s="148" t="n">
        <v>45967</v>
      </c>
      <c r="B4579" s="37" t="n">
        <v>520</v>
      </c>
    </row>
    <row r="4580" customFormat="false" ht="15" hidden="false" customHeight="false" outlineLevel="0" collapsed="false">
      <c r="A4580" s="148" t="n">
        <v>45968</v>
      </c>
      <c r="B4580" s="37" t="n">
        <v>518</v>
      </c>
    </row>
    <row r="4581" customFormat="false" ht="15" hidden="false" customHeight="false" outlineLevel="0" collapsed="false">
      <c r="A4581" s="148" t="n">
        <v>45971</v>
      </c>
      <c r="B4581" s="37" t="n">
        <v>510</v>
      </c>
    </row>
    <row r="4582" customFormat="false" ht="15" hidden="false" customHeight="false" outlineLevel="0" collapsed="false">
      <c r="A4582" s="148" t="n">
        <v>45972</v>
      </c>
      <c r="B4582" s="37" t="n">
        <v>512</v>
      </c>
    </row>
    <row r="4583" customFormat="false" ht="15" hidden="false" customHeight="false" outlineLevel="0" collapsed="false">
      <c r="A4583" s="148" t="n">
        <v>45973</v>
      </c>
      <c r="B4583" s="37" t="n">
        <v>515</v>
      </c>
    </row>
    <row r="4584" customFormat="false" ht="15" hidden="false" customHeight="false" outlineLevel="0" collapsed="false">
      <c r="A4584" s="148" t="n">
        <v>45974</v>
      </c>
      <c r="B4584" s="37" t="n">
        <v>514</v>
      </c>
    </row>
    <row r="4585" customFormat="false" ht="15" hidden="false" customHeight="false" outlineLevel="0" collapsed="false">
      <c r="A4585" s="148" t="n">
        <v>45975</v>
      </c>
      <c r="B4585" s="37" t="n">
        <v>514</v>
      </c>
    </row>
    <row r="4586" customFormat="false" ht="15" hidden="false" customHeight="false" outlineLevel="0" collapsed="false">
      <c r="A4586" s="148" t="n">
        <v>45978</v>
      </c>
      <c r="B4586" s="37" t="n">
        <v>514</v>
      </c>
    </row>
    <row r="4587" customFormat="false" ht="15" hidden="false" customHeight="false" outlineLevel="0" collapsed="false">
      <c r="A4587" s="148" t="n">
        <v>45979</v>
      </c>
      <c r="B4587" s="37" t="n">
        <v>518</v>
      </c>
    </row>
    <row r="4588" customFormat="false" ht="15" hidden="false" customHeight="false" outlineLevel="0" collapsed="false">
      <c r="A4588" s="148" t="n">
        <v>45980</v>
      </c>
      <c r="B4588" s="37" t="n">
        <v>535</v>
      </c>
    </row>
    <row r="4589" customFormat="false" ht="15" hidden="false" customHeight="false" outlineLevel="0" collapsed="false">
      <c r="A4589" s="148" t="n">
        <v>45981</v>
      </c>
      <c r="B4589" s="37" t="n">
        <v>528</v>
      </c>
    </row>
    <row r="4590" customFormat="false" ht="15" hidden="false" customHeight="false" outlineLevel="0" collapsed="false">
      <c r="A4590" s="148" t="n">
        <v>45982</v>
      </c>
      <c r="B4590" s="37" t="n">
        <v>500</v>
      </c>
    </row>
    <row r="4591" customFormat="false" ht="15" hidden="false" customHeight="false" outlineLevel="0" collapsed="false">
      <c r="A4591" s="148" t="n">
        <v>45985</v>
      </c>
      <c r="B4591" s="37" t="n">
        <v>500</v>
      </c>
    </row>
    <row r="4592" customFormat="false" ht="15" hidden="false" customHeight="false" outlineLevel="0" collapsed="false">
      <c r="A4592" s="148" t="n">
        <v>45986</v>
      </c>
      <c r="B4592" s="37" t="n">
        <v>523</v>
      </c>
    </row>
    <row r="4593" customFormat="false" ht="15" hidden="false" customHeight="false" outlineLevel="0" collapsed="false">
      <c r="A4593" s="148" t="n">
        <v>45987</v>
      </c>
      <c r="B4593" s="37" t="n">
        <v>501</v>
      </c>
    </row>
    <row r="4594" customFormat="false" ht="15" hidden="false" customHeight="false" outlineLevel="0" collapsed="false">
      <c r="A4594" s="148" t="n">
        <v>45988</v>
      </c>
      <c r="B4594" s="37" t="n">
        <v>487</v>
      </c>
    </row>
    <row r="4595" customFormat="false" ht="15" hidden="false" customHeight="false" outlineLevel="0" collapsed="false">
      <c r="A4595" s="148" t="n">
        <v>45989</v>
      </c>
      <c r="B4595" s="37" t="n">
        <v>520</v>
      </c>
    </row>
    <row r="4596" customFormat="false" ht="15" hidden="false" customHeight="false" outlineLevel="0" collapsed="false">
      <c r="A4596" s="148" t="n">
        <v>45992</v>
      </c>
      <c r="B4596" s="37" t="n">
        <v>491</v>
      </c>
    </row>
    <row r="4597" customFormat="false" ht="15" hidden="false" customHeight="false" outlineLevel="0" collapsed="false">
      <c r="A4597" s="148" t="n">
        <v>45993</v>
      </c>
      <c r="B4597" s="37" t="n">
        <v>491</v>
      </c>
    </row>
    <row r="4598" customFormat="false" ht="15" hidden="false" customHeight="false" outlineLevel="0" collapsed="false">
      <c r="A4598" s="148" t="n">
        <v>45994</v>
      </c>
      <c r="B4598" s="37" t="n">
        <v>488</v>
      </c>
    </row>
    <row r="4599" customFormat="false" ht="15" hidden="false" customHeight="false" outlineLevel="0" collapsed="false">
      <c r="A4599" s="148" t="n">
        <v>45995</v>
      </c>
      <c r="B4599" s="37" t="n">
        <v>487</v>
      </c>
    </row>
    <row r="4600" customFormat="false" ht="15" hidden="false" customHeight="false" outlineLevel="0" collapsed="false">
      <c r="A4600" s="148" t="n">
        <v>45996</v>
      </c>
      <c r="B4600" s="37" t="n">
        <v>486</v>
      </c>
    </row>
    <row r="4601" customFormat="false" ht="15" hidden="false" customHeight="false" outlineLevel="0" collapsed="false">
      <c r="A4601" s="148" t="n">
        <v>45999</v>
      </c>
      <c r="B4601" s="37" t="n">
        <v>482</v>
      </c>
    </row>
    <row r="4602" customFormat="false" ht="15" hidden="false" customHeight="false" outlineLevel="0" collapsed="false">
      <c r="A4602" s="148" t="n">
        <v>46000</v>
      </c>
      <c r="B4602" s="37" t="n">
        <v>490</v>
      </c>
    </row>
    <row r="4603" customFormat="false" ht="15" hidden="false" customHeight="false" outlineLevel="0" collapsed="false">
      <c r="A4603" s="148" t="n">
        <v>46001</v>
      </c>
      <c r="B4603" s="37" t="n">
        <v>483</v>
      </c>
    </row>
    <row r="4604" customFormat="false" ht="15" hidden="false" customHeight="false" outlineLevel="0" collapsed="false">
      <c r="A4604" s="148" t="n">
        <v>46002</v>
      </c>
      <c r="B4604" s="37" t="n">
        <v>483</v>
      </c>
    </row>
    <row r="4605" customFormat="false" ht="15" hidden="false" customHeight="false" outlineLevel="0" collapsed="false">
      <c r="A4605" s="148" t="n">
        <v>46003</v>
      </c>
      <c r="B4605" s="37" t="n">
        <v>481</v>
      </c>
    </row>
    <row r="4606" customFormat="false" ht="15" hidden="false" customHeight="false" outlineLevel="0" collapsed="false">
      <c r="A4606" s="148" t="n">
        <v>46006</v>
      </c>
      <c r="B4606" s="37" t="n">
        <v>479</v>
      </c>
    </row>
    <row r="4607" customFormat="false" ht="15" hidden="false" customHeight="false" outlineLevel="0" collapsed="false">
      <c r="A4607" s="148" t="n">
        <v>46008</v>
      </c>
      <c r="B4607" s="37" t="n">
        <v>457</v>
      </c>
    </row>
    <row r="4608" customFormat="false" ht="15" hidden="false" customHeight="false" outlineLevel="0" collapsed="false">
      <c r="A4608" s="148" t="n">
        <v>46009</v>
      </c>
      <c r="B4608" s="37" t="n">
        <v>460</v>
      </c>
    </row>
    <row r="4609" customFormat="false" ht="15" hidden="false" customHeight="false" outlineLevel="0" collapsed="false">
      <c r="A4609" s="148" t="n">
        <v>46010</v>
      </c>
      <c r="B4609" s="37" t="n">
        <v>475</v>
      </c>
    </row>
    <row r="4610" customFormat="false" ht="15" hidden="false" customHeight="false" outlineLevel="0" collapsed="false">
      <c r="A4610" s="148" t="n">
        <v>46013</v>
      </c>
      <c r="B4610" s="37" t="n">
        <v>479</v>
      </c>
    </row>
    <row r="4611" customFormat="false" ht="15" hidden="false" customHeight="false" outlineLevel="0" collapsed="false">
      <c r="A4611" s="148" t="n">
        <v>46014</v>
      </c>
      <c r="B4611" s="37" t="n">
        <v>480</v>
      </c>
    </row>
    <row r="4612" customFormat="false" ht="15" hidden="false" customHeight="false" outlineLevel="0" collapsed="false">
      <c r="A4612" s="148" t="n">
        <v>46015</v>
      </c>
      <c r="B4612" s="37" t="n">
        <v>480</v>
      </c>
    </row>
    <row r="4613" customFormat="false" ht="15" hidden="false" customHeight="false" outlineLevel="0" collapsed="false">
      <c r="A4613" s="148" t="n">
        <v>46020</v>
      </c>
      <c r="B4613" s="37" t="n">
        <v>479</v>
      </c>
    </row>
    <row r="4614" customFormat="false" ht="15" hidden="false" customHeight="false" outlineLevel="0" collapsed="false">
      <c r="A4614" s="148" t="n">
        <v>46021</v>
      </c>
      <c r="B4614" s="37" t="n">
        <v>473</v>
      </c>
    </row>
    <row r="4615" customFormat="false" ht="15" hidden="false" customHeight="false" outlineLevel="0" collapsed="false">
      <c r="A4615" s="148" t="n">
        <v>46022</v>
      </c>
      <c r="B4615" s="37" t="n">
        <v>477</v>
      </c>
    </row>
    <row r="4616" customFormat="false" ht="15" hidden="false" customHeight="false" outlineLevel="0" collapsed="false">
      <c r="A4616" s="148" t="n">
        <v>46024</v>
      </c>
      <c r="B4616" s="37" t="n">
        <v>477</v>
      </c>
    </row>
    <row r="4617" customFormat="false" ht="15" hidden="false" customHeight="false" outlineLevel="0" collapsed="false">
      <c r="A4617" s="148" t="n">
        <v>46027</v>
      </c>
      <c r="B4617" s="37" t="n">
        <v>470</v>
      </c>
    </row>
    <row r="4618" customFormat="false" ht="15" hidden="false" customHeight="false" outlineLevel="0" collapsed="false">
      <c r="A4618" s="148" t="n">
        <v>46028</v>
      </c>
      <c r="B4618" s="37" t="n">
        <v>479</v>
      </c>
    </row>
    <row r="4619" customFormat="false" ht="15" hidden="false" customHeight="false" outlineLevel="0" collapsed="false">
      <c r="A4619" s="148" t="n">
        <v>46029</v>
      </c>
      <c r="B4619" s="37" t="n">
        <v>490</v>
      </c>
    </row>
    <row r="4620" customFormat="false" ht="15" hidden="false" customHeight="false" outlineLevel="0" collapsed="false">
      <c r="A4620" s="148" t="n">
        <v>46030</v>
      </c>
      <c r="B4620" s="37" t="n">
        <v>490</v>
      </c>
    </row>
    <row r="4621" customFormat="false" ht="15" hidden="false" customHeight="false" outlineLevel="0" collapsed="false">
      <c r="A4621" s="148" t="n">
        <v>46031</v>
      </c>
      <c r="B4621" s="37" t="n">
        <v>500</v>
      </c>
    </row>
    <row r="4622" customFormat="false" ht="15" hidden="false" customHeight="false" outlineLevel="0" collapsed="false">
      <c r="A4622" s="148" t="n">
        <v>46034</v>
      </c>
      <c r="B4622" s="37" t="n">
        <v>500</v>
      </c>
    </row>
    <row r="4623" customFormat="false" ht="15" hidden="false" customHeight="false" outlineLevel="0" collapsed="false">
      <c r="A4623" s="148" t="n">
        <v>46035</v>
      </c>
      <c r="B4623" s="37" t="n">
        <v>500</v>
      </c>
    </row>
    <row r="4624" customFormat="false" ht="15" hidden="false" customHeight="false" outlineLevel="0" collapsed="false">
      <c r="A4624" s="148" t="n">
        <v>46036</v>
      </c>
      <c r="B4624" s="37" t="n">
        <v>501</v>
      </c>
    </row>
    <row r="4625" customFormat="false" ht="15" hidden="false" customHeight="false" outlineLevel="0" collapsed="false">
      <c r="A4625" s="148" t="n">
        <v>46037</v>
      </c>
      <c r="B4625" s="37" t="n">
        <v>501</v>
      </c>
    </row>
    <row r="4626" customFormat="false" ht="15" hidden="false" customHeight="false" outlineLevel="0" collapsed="false">
      <c r="A4626" s="148" t="n">
        <v>46038</v>
      </c>
      <c r="B4626" s="37" t="n">
        <v>501</v>
      </c>
    </row>
    <row r="4627" customFormat="false" ht="15" hidden="false" customHeight="false" outlineLevel="0" collapsed="false">
      <c r="A4627" s="148" t="n">
        <v>46041</v>
      </c>
      <c r="B4627" s="37" t="n">
        <v>474</v>
      </c>
    </row>
    <row r="4628" customFormat="false" ht="15" hidden="false" customHeight="false" outlineLevel="0" collapsed="false">
      <c r="A4628" s="148" t="n">
        <v>46042</v>
      </c>
      <c r="B4628" s="37" t="n">
        <v>475</v>
      </c>
    </row>
    <row r="4629" customFormat="false" ht="15" hidden="false" customHeight="false" outlineLevel="0" collapsed="false">
      <c r="A4629" s="148" t="n">
        <v>46043</v>
      </c>
      <c r="B4629" s="37" t="n">
        <v>490</v>
      </c>
    </row>
    <row r="4630" customFormat="false" ht="15" hidden="false" customHeight="false" outlineLevel="0" collapsed="false">
      <c r="A4630" s="148" t="n">
        <v>46044</v>
      </c>
      <c r="B4630" s="37" t="n">
        <v>470</v>
      </c>
    </row>
    <row r="4631" customFormat="false" ht="15" hidden="false" customHeight="false" outlineLevel="0" collapsed="false">
      <c r="A4631" s="148" t="n">
        <v>46045</v>
      </c>
      <c r="B4631" s="37" t="n">
        <v>470</v>
      </c>
    </row>
    <row r="4632" customFormat="false" ht="15" hidden="false" customHeight="false" outlineLevel="0" collapsed="false">
      <c r="A4632" s="148" t="n">
        <v>46048</v>
      </c>
      <c r="B4632" s="37" t="n">
        <v>470</v>
      </c>
    </row>
    <row r="4633" customFormat="false" ht="15" hidden="false" customHeight="false" outlineLevel="0" collapsed="false">
      <c r="A4633" s="148" t="n">
        <v>46049</v>
      </c>
      <c r="B4633" s="37" t="n">
        <v>504</v>
      </c>
    </row>
    <row r="4634" customFormat="false" ht="15" hidden="false" customHeight="false" outlineLevel="0" collapsed="false">
      <c r="A4634" s="148" t="n">
        <v>46050</v>
      </c>
      <c r="B4634" s="37" t="n">
        <v>500</v>
      </c>
    </row>
    <row r="4635" customFormat="false" ht="15" hidden="false" customHeight="false" outlineLevel="0" collapsed="false">
      <c r="A4635" s="148" t="n">
        <v>46051</v>
      </c>
      <c r="B4635" s="37" t="n">
        <v>485</v>
      </c>
    </row>
    <row r="4636" customFormat="false" ht="15" hidden="false" customHeight="false" outlineLevel="0" collapsed="false">
      <c r="A4636" s="148" t="n">
        <v>46052</v>
      </c>
      <c r="B4636" s="37" t="n">
        <v>495</v>
      </c>
    </row>
    <row r="4637" customFormat="false" ht="15" hidden="false" customHeight="false" outlineLevel="0" collapsed="false">
      <c r="A4637" s="148" t="n">
        <v>46055</v>
      </c>
      <c r="B4637" s="37" t="n">
        <v>475</v>
      </c>
    </row>
    <row r="4638" customFormat="false" ht="15" hidden="false" customHeight="false" outlineLevel="0" collapsed="false">
      <c r="A4638" s="148" t="n">
        <v>46056</v>
      </c>
      <c r="B4638" s="37" t="n">
        <v>470</v>
      </c>
    </row>
    <row r="4639" customFormat="false" ht="15" hidden="false" customHeight="false" outlineLevel="0" collapsed="false">
      <c r="A4639" s="148" t="n">
        <v>46057</v>
      </c>
      <c r="B4639" s="37" t="n">
        <v>472</v>
      </c>
    </row>
    <row r="4640" customFormat="false" ht="15" hidden="false" customHeight="false" outlineLevel="0" collapsed="false">
      <c r="A4640" s="148" t="n">
        <v>46058</v>
      </c>
      <c r="B4640" s="37" t="n">
        <v>470</v>
      </c>
    </row>
    <row r="4641" customFormat="false" ht="15" hidden="false" customHeight="false" outlineLevel="0" collapsed="false">
      <c r="A4641" s="148" t="n">
        <v>46059</v>
      </c>
      <c r="B4641" s="37" t="n">
        <v>515</v>
      </c>
    </row>
    <row r="4642" customFormat="false" ht="15" hidden="false" customHeight="false" outlineLevel="0" collapsed="false">
      <c r="A4642" s="148" t="n">
        <v>46062</v>
      </c>
      <c r="B4642" s="37" t="n">
        <v>515</v>
      </c>
    </row>
    <row r="4643" customFormat="false" ht="15" hidden="false" customHeight="false" outlineLevel="0" collapsed="false">
      <c r="A4643" s="148" t="n">
        <v>46063</v>
      </c>
      <c r="B4643" s="37" t="n">
        <v>493</v>
      </c>
    </row>
    <row r="4644" customFormat="false" ht="15" hidden="false" customHeight="false" outlineLevel="0" collapsed="false">
      <c r="A4644" s="148" t="n">
        <v>46064</v>
      </c>
      <c r="B4644" s="37" t="n">
        <v>525</v>
      </c>
    </row>
    <row r="4645" customFormat="false" ht="15" hidden="false" customHeight="false" outlineLevel="0" collapsed="false">
      <c r="A4645" s="148" t="n">
        <v>46065</v>
      </c>
      <c r="B4645" s="37" t="n">
        <v>535</v>
      </c>
    </row>
    <row r="4646" customFormat="false" ht="15" hidden="false" customHeight="false" outlineLevel="0" collapsed="false">
      <c r="A4646" s="148" t="n">
        <v>46066</v>
      </c>
      <c r="B4646" s="37" t="n">
        <v>535</v>
      </c>
    </row>
    <row r="4647" customFormat="false" ht="15" hidden="false" customHeight="false" outlineLevel="0" collapsed="false">
      <c r="A4647" s="148" t="n">
        <v>46069</v>
      </c>
      <c r="B4647" s="37" t="n">
        <v>530</v>
      </c>
    </row>
    <row r="4648" customFormat="false" ht="15" hidden="false" customHeight="false" outlineLevel="0" collapsed="false">
      <c r="A4648" s="148" t="n">
        <v>46070</v>
      </c>
      <c r="B4648" s="37" t="n">
        <v>540</v>
      </c>
    </row>
    <row r="4649" customFormat="false" ht="15" hidden="false" customHeight="false" outlineLevel="0" collapsed="false">
      <c r="A4649" s="148" t="n">
        <v>46071</v>
      </c>
      <c r="B4649" s="37" t="n">
        <v>540</v>
      </c>
    </row>
    <row r="4650" customFormat="false" ht="15" hidden="false" customHeight="false" outlineLevel="0" collapsed="false">
      <c r="A4650" s="148" t="n">
        <v>46072</v>
      </c>
      <c r="B4650" s="37" t="n">
        <v>510</v>
      </c>
    </row>
    <row r="4651" customFormat="false" ht="15" hidden="false" customHeight="false" outlineLevel="0" collapsed="false">
      <c r="A4651" s="148" t="n">
        <v>46073</v>
      </c>
      <c r="B4651" s="37" t="n">
        <v>530</v>
      </c>
    </row>
    <row r="4652" customFormat="false" ht="15" hidden="false" customHeight="false" outlineLevel="0" collapsed="false">
      <c r="A4652" s="148" t="n">
        <v>46076</v>
      </c>
      <c r="B4652" s="37" t="n">
        <v>549</v>
      </c>
    </row>
    <row r="4653" customFormat="false" ht="15" hidden="false" customHeight="false" outlineLevel="0" collapsed="false">
      <c r="A4653" s="148" t="n">
        <v>46077</v>
      </c>
      <c r="B4653" s="37" t="n">
        <v>549</v>
      </c>
    </row>
    <row r="4654" customFormat="false" ht="15" hidden="false" customHeight="false" outlineLevel="0" collapsed="false">
      <c r="A4654" s="148" t="n">
        <v>46078</v>
      </c>
      <c r="B4654" s="37" t="n">
        <v>540</v>
      </c>
    </row>
    <row r="4655" customFormat="false" ht="15" hidden="false" customHeight="false" outlineLevel="0" collapsed="false">
      <c r="A4655" s="148" t="n">
        <v>46079</v>
      </c>
      <c r="B4655" s="37" t="n">
        <v>570</v>
      </c>
    </row>
    <row r="4656" customFormat="false" ht="15" hidden="false" customHeight="false" outlineLevel="0" collapsed="false">
      <c r="A4656" s="148" t="n">
        <v>46080</v>
      </c>
      <c r="B4656" s="37" t="n">
        <v>565</v>
      </c>
    </row>
    <row r="4657" customFormat="false" ht="15" hidden="false" customHeight="false" outlineLevel="0" collapsed="false">
      <c r="A4657" s="148" t="n">
        <v>46083</v>
      </c>
      <c r="B4657" s="37" t="n">
        <v>554</v>
      </c>
    </row>
    <row r="4658" customFormat="false" ht="15" hidden="false" customHeight="false" outlineLevel="0" collapsed="false">
      <c r="A4658" s="148" t="n">
        <v>46084</v>
      </c>
      <c r="B4658" s="37" t="n">
        <v>550</v>
      </c>
    </row>
    <row r="4659" customFormat="false" ht="15" hidden="false" customHeight="false" outlineLevel="0" collapsed="false">
      <c r="A4659" s="148" t="n">
        <v>46085</v>
      </c>
      <c r="B4659" s="37" t="n">
        <v>550</v>
      </c>
    </row>
    <row r="4660" customFormat="false" ht="15" hidden="false" customHeight="false" outlineLevel="0" collapsed="false">
      <c r="A4660" s="148" t="n">
        <v>46086</v>
      </c>
      <c r="B4660" s="37" t="n">
        <v>550</v>
      </c>
    </row>
    <row r="4661" customFormat="false" ht="15" hidden="false" customHeight="false" outlineLevel="0" collapsed="false">
      <c r="A4661" s="148" t="n">
        <v>46087</v>
      </c>
      <c r="B4661" s="37" t="n">
        <v>550</v>
      </c>
    </row>
    <row r="4662" customFormat="false" ht="15" hidden="false" customHeight="false" outlineLevel="0" collapsed="false">
      <c r="A4662" s="148" t="n">
        <v>46090</v>
      </c>
      <c r="B4662" s="37" t="n">
        <v>530</v>
      </c>
    </row>
    <row r="4663" customFormat="false" ht="15" hidden="false" customHeight="false" outlineLevel="0" collapsed="false">
      <c r="A4663" s="148" t="n">
        <v>46091</v>
      </c>
      <c r="B4663" s="37" t="n">
        <v>521</v>
      </c>
    </row>
    <row r="4664" customFormat="false" ht="15" hidden="false" customHeight="false" outlineLevel="0" collapsed="false">
      <c r="A4664" s="148" t="n">
        <v>46092</v>
      </c>
      <c r="B4664" s="37" t="n">
        <v>480</v>
      </c>
    </row>
    <row r="4665" customFormat="false" ht="15" hidden="false" customHeight="false" outlineLevel="0" collapsed="false">
      <c r="A4665" s="148" t="n">
        <v>46093</v>
      </c>
      <c r="B4665" s="37" t="n">
        <v>500</v>
      </c>
    </row>
    <row r="4666" customFormat="false" ht="15" hidden="false" customHeight="false" outlineLevel="0" collapsed="false">
      <c r="A4666" s="148" t="n">
        <v>46094</v>
      </c>
      <c r="B4666" s="37" t="n">
        <v>475</v>
      </c>
    </row>
    <row r="4667" customFormat="false" ht="15" hidden="false" customHeight="false" outlineLevel="0" collapsed="false">
      <c r="A4667" s="148" t="n">
        <v>46097</v>
      </c>
      <c r="B4667" s="37" t="n">
        <v>470</v>
      </c>
    </row>
    <row r="4668" customFormat="false" ht="15" hidden="false" customHeight="false" outlineLevel="0" collapsed="false">
      <c r="A4668" s="148" t="n">
        <v>46098</v>
      </c>
      <c r="B4668" s="37" t="n">
        <v>475</v>
      </c>
    </row>
    <row r="4669" customFormat="false" ht="15" hidden="false" customHeight="false" outlineLevel="0" collapsed="false">
      <c r="A4669" s="148" t="n">
        <v>46099</v>
      </c>
      <c r="B4669" s="37" t="n">
        <v>450</v>
      </c>
    </row>
    <row r="4670" customFormat="false" ht="15" hidden="false" customHeight="false" outlineLevel="0" collapsed="false">
      <c r="A4670" s="148" t="n">
        <v>46100</v>
      </c>
      <c r="B4670" s="37" t="n">
        <v>464</v>
      </c>
    </row>
    <row r="4671" customFormat="false" ht="15" hidden="false" customHeight="false" outlineLevel="0" collapsed="false">
      <c r="A4671" s="148" t="n">
        <v>46101</v>
      </c>
      <c r="B4671" s="37" t="n">
        <v>465</v>
      </c>
    </row>
    <row r="4672" customFormat="false" ht="15" hidden="false" customHeight="false" outlineLevel="0" collapsed="false">
      <c r="A4672" s="148" t="n">
        <v>46104</v>
      </c>
      <c r="B4672" s="37" t="n">
        <v>459</v>
      </c>
    </row>
    <row r="4673" customFormat="false" ht="15" hidden="false" customHeight="false" outlineLevel="0" collapsed="false">
      <c r="A4673" s="148" t="n">
        <v>46105</v>
      </c>
      <c r="B4673" s="37" t="n">
        <v>443</v>
      </c>
    </row>
    <row r="4674" customFormat="false" ht="15" hidden="false" customHeight="false" outlineLevel="0" collapsed="false">
      <c r="A4674" s="148" t="n">
        <v>46106</v>
      </c>
      <c r="B4674" s="37" t="n">
        <v>460</v>
      </c>
    </row>
    <row r="4675" customFormat="false" ht="15" hidden="false" customHeight="false" outlineLevel="0" collapsed="false">
      <c r="A4675" s="148" t="n">
        <v>46107</v>
      </c>
      <c r="B4675" s="37" t="n">
        <v>460</v>
      </c>
    </row>
    <row r="4676" customFormat="false" ht="15" hidden="false" customHeight="false" outlineLevel="0" collapsed="false">
      <c r="A4676" s="148" t="n">
        <v>46108</v>
      </c>
      <c r="B4676" s="37" t="n">
        <v>460</v>
      </c>
    </row>
    <row r="4677" customFormat="false" ht="15" hidden="false" customHeight="false" outlineLevel="0" collapsed="false">
      <c r="A4677" s="148" t="n">
        <v>46111</v>
      </c>
      <c r="B4677" s="37" t="n">
        <v>460</v>
      </c>
    </row>
    <row r="4678" customFormat="false" ht="15" hidden="false" customHeight="false" outlineLevel="0" collapsed="false">
      <c r="A4678" s="148" t="n">
        <v>46112</v>
      </c>
      <c r="B4678" s="37" t="n">
        <v>445</v>
      </c>
    </row>
    <row r="4679" customFormat="false" ht="15" hidden="false" customHeight="false" outlineLevel="0" collapsed="false">
      <c r="A4679" s="148" t="n">
        <v>46113</v>
      </c>
      <c r="B4679" s="37" t="n">
        <v>450</v>
      </c>
    </row>
    <row r="4680" customFormat="false" ht="15" hidden="false" customHeight="false" outlineLevel="0" collapsed="false">
      <c r="A4680" s="148" t="n">
        <v>46114</v>
      </c>
      <c r="B4680" s="37" t="n">
        <v>460</v>
      </c>
    </row>
    <row r="4681" customFormat="false" ht="15" hidden="false" customHeight="false" outlineLevel="0" collapsed="false">
      <c r="A4681" s="148" t="n">
        <v>46119</v>
      </c>
      <c r="B4681" s="37" t="n">
        <v>453</v>
      </c>
    </row>
    <row r="4682" customFormat="false" ht="15" hidden="false" customHeight="false" outlineLevel="0" collapsed="false">
      <c r="A4682" s="148" t="n">
        <v>46120</v>
      </c>
      <c r="B4682" s="37" t="n">
        <v>460</v>
      </c>
    </row>
    <row r="4683" customFormat="false" ht="15" hidden="false" customHeight="false" outlineLevel="0" collapsed="false">
      <c r="A4683" s="148" t="n">
        <v>46121</v>
      </c>
      <c r="B4683" s="37" t="n">
        <v>460</v>
      </c>
    </row>
    <row r="4684" customFormat="false" ht="15" hidden="false" customHeight="false" outlineLevel="0" collapsed="false">
      <c r="A4684" s="148" t="n">
        <v>46122</v>
      </c>
      <c r="B4684" s="37" t="n">
        <v>460</v>
      </c>
    </row>
    <row r="4685" customFormat="false" ht="15" hidden="false" customHeight="false" outlineLevel="0" collapsed="false">
      <c r="A4685" s="148" t="n">
        <v>46125</v>
      </c>
      <c r="B4685" s="37" t="n">
        <v>460</v>
      </c>
    </row>
    <row r="4686" customFormat="false" ht="15" hidden="false" customHeight="false" outlineLevel="0" collapsed="false">
      <c r="A4686" s="148" t="n">
        <v>46126</v>
      </c>
      <c r="B4686" s="37" t="n">
        <v>489</v>
      </c>
    </row>
    <row r="4687" customFormat="false" ht="15" hidden="false" customHeight="false" outlineLevel="0" collapsed="false">
      <c r="A4687" s="148" t="n">
        <v>46127</v>
      </c>
      <c r="B4687" s="37" t="n">
        <v>489</v>
      </c>
    </row>
    <row r="4688" customFormat="false" ht="15" hidden="false" customHeight="false" outlineLevel="0" collapsed="false">
      <c r="A4688" s="148" t="n">
        <v>46128</v>
      </c>
      <c r="B4688" s="37" t="n">
        <v>489</v>
      </c>
    </row>
    <row r="4689" customFormat="false" ht="15" hidden="false" customHeight="false" outlineLevel="0" collapsed="false">
      <c r="A4689" s="148" t="n">
        <v>46129</v>
      </c>
      <c r="B4689" s="37" t="n">
        <v>457</v>
      </c>
    </row>
    <row r="4690" customFormat="false" ht="15" hidden="false" customHeight="false" outlineLevel="0" collapsed="false">
      <c r="A4690" s="148" t="n">
        <v>46132</v>
      </c>
      <c r="B4690" s="37" t="n">
        <v>470</v>
      </c>
    </row>
    <row r="4691" customFormat="false" ht="15" hidden="false" customHeight="false" outlineLevel="0" collapsed="false">
      <c r="A4691" s="148" t="n">
        <v>46133</v>
      </c>
      <c r="B4691" s="37" t="n">
        <v>456</v>
      </c>
    </row>
    <row r="4692" customFormat="false" ht="15" hidden="false" customHeight="false" outlineLevel="0" collapsed="false">
      <c r="A4692" s="148" t="n">
        <v>46134</v>
      </c>
      <c r="B4692" s="37" t="n">
        <v>456</v>
      </c>
    </row>
    <row r="4693" customFormat="false" ht="15" hidden="false" customHeight="false" outlineLevel="0" collapsed="false">
      <c r="A4693" s="148" t="n">
        <v>46135</v>
      </c>
      <c r="B4693" s="37" t="n">
        <v>455</v>
      </c>
    </row>
    <row r="4694" customFormat="false" ht="15" hidden="false" customHeight="false" outlineLevel="0" collapsed="false">
      <c r="A4694" s="148" t="n">
        <v>46136</v>
      </c>
      <c r="B4694" s="37" t="n">
        <v>454</v>
      </c>
    </row>
    <row r="4695" customFormat="false" ht="15" hidden="false" customHeight="false" outlineLevel="0" collapsed="false">
      <c r="A4695" s="148" t="n">
        <v>46140</v>
      </c>
      <c r="B4695" s="37" t="n">
        <v>446</v>
      </c>
    </row>
    <row r="4696" customFormat="false" ht="15" hidden="false" customHeight="false" outlineLevel="0" collapsed="false">
      <c r="A4696" s="148" t="n">
        <v>46141</v>
      </c>
      <c r="B4696" s="37" t="n">
        <v>440</v>
      </c>
    </row>
    <row r="4697" customFormat="false" ht="15" hidden="false" customHeight="false" outlineLevel="0" collapsed="false">
      <c r="A4697" s="148" t="n">
        <v>46142</v>
      </c>
      <c r="B4697" s="37" t="n">
        <v>426</v>
      </c>
    </row>
    <row r="4698" customFormat="false" ht="15" hidden="false" customHeight="false" outlineLevel="0" collapsed="false">
      <c r="A4698" s="148" t="n">
        <v>46146</v>
      </c>
      <c r="B4698" s="37" t="n">
        <v>430</v>
      </c>
    </row>
    <row r="4699" customFormat="false" ht="15" hidden="false" customHeight="false" outlineLevel="0" collapsed="false">
      <c r="A4699" s="148" t="n">
        <v>46147</v>
      </c>
      <c r="B4699" s="37" t="n">
        <v>427</v>
      </c>
    </row>
    <row r="4700" customFormat="false" ht="15" hidden="false" customHeight="false" outlineLevel="0" collapsed="false">
      <c r="A4700" s="148" t="n">
        <v>46148</v>
      </c>
      <c r="B4700" s="37" t="n">
        <v>417</v>
      </c>
    </row>
    <row r="4701" customFormat="false" ht="15" hidden="false" customHeight="false" outlineLevel="0" collapsed="false">
      <c r="A4701" s="148" t="n">
        <v>46149</v>
      </c>
      <c r="B4701" s="37" t="n">
        <v>425</v>
      </c>
    </row>
    <row r="4702" customFormat="false" ht="15" hidden="false" customHeight="false" outlineLevel="0" collapsed="false">
      <c r="A4702" s="148" t="n">
        <v>46150</v>
      </c>
      <c r="B4702" s="37" t="n">
        <v>428</v>
      </c>
    </row>
    <row r="4703" customFormat="false" ht="15" hidden="false" customHeight="false" outlineLevel="0" collapsed="false">
      <c r="A4703" s="148" t="n">
        <v>46153</v>
      </c>
      <c r="B4703" s="37" t="n">
        <v>424</v>
      </c>
    </row>
    <row r="4704" customFormat="false" ht="15" hidden="false" customHeight="false" outlineLevel="0" collapsed="false">
      <c r="A4704" s="148" t="n">
        <v>46154</v>
      </c>
      <c r="B4704" s="37" t="n">
        <v>429</v>
      </c>
    </row>
    <row r="4705" customFormat="false" ht="15" hidden="false" customHeight="false" outlineLevel="0" collapsed="false">
      <c r="A4705" s="148" t="n">
        <v>46155</v>
      </c>
      <c r="B4705" s="37" t="n">
        <v>428</v>
      </c>
    </row>
    <row r="4706" customFormat="false" ht="15" hidden="false" customHeight="false" outlineLevel="0" collapsed="false">
      <c r="A4706" s="148" t="n">
        <v>46156</v>
      </c>
      <c r="B4706" s="37" t="n">
        <v>425</v>
      </c>
    </row>
    <row r="4707" customFormat="false" ht="15" hidden="false" customHeight="false" outlineLevel="0" collapsed="false">
      <c r="A4707" s="148" t="n">
        <v>46157</v>
      </c>
      <c r="B4707" s="37" t="n">
        <v>428</v>
      </c>
    </row>
    <row r="4708" customFormat="false" ht="15" hidden="false" customHeight="false" outlineLevel="0" collapsed="false">
      <c r="A4708" s="148" t="n">
        <v>46160</v>
      </c>
      <c r="B4708" s="37" t="n">
        <v>448</v>
      </c>
    </row>
    <row r="4709" customFormat="false" ht="15" hidden="false" customHeight="false" outlineLevel="0" collapsed="false">
      <c r="A4709" s="148" t="n">
        <v>46161</v>
      </c>
      <c r="B4709" s="37" t="n">
        <v>445</v>
      </c>
    </row>
    <row r="4710" customFormat="false" ht="15" hidden="false" customHeight="false" outlineLevel="0" collapsed="false">
      <c r="A4710" s="148" t="n">
        <v>46162</v>
      </c>
      <c r="B4710" s="37" t="n">
        <v>425</v>
      </c>
    </row>
    <row r="4711" customFormat="false" ht="15" hidden="false" customHeight="false" outlineLevel="0" collapsed="false">
      <c r="A4711" s="148" t="n">
        <v>46163</v>
      </c>
      <c r="B4711" s="37" t="n">
        <v>430</v>
      </c>
    </row>
    <row r="4712" customFormat="false" ht="15" hidden="false" customHeight="false" outlineLevel="0" collapsed="false">
      <c r="A4712" s="14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A1" s="0" t="s">
        <v>452</v>
      </c>
      <c r="B1" s="0" t="s">
        <v>453</v>
      </c>
      <c r="C1" s="0" t="s">
        <v>454</v>
      </c>
    </row>
    <row r="2" customFormat="false" ht="15" hidden="false" customHeight="false" outlineLevel="0" collapsed="false">
      <c r="A2" s="0" t="s">
        <v>455</v>
      </c>
      <c r="C2" s="0" t="n">
        <v>0.2493</v>
      </c>
    </row>
    <row r="3" customFormat="false" ht="15" hidden="false" customHeight="false" outlineLevel="0" collapsed="false">
      <c r="A3" s="0" t="s">
        <v>456</v>
      </c>
      <c r="C3" s="0" t="n">
        <v>0.1899</v>
      </c>
    </row>
    <row r="4" customFormat="false" ht="15" hidden="false" customHeight="false" outlineLevel="0" collapsed="false">
      <c r="A4" s="0" t="s">
        <v>457</v>
      </c>
      <c r="C4" s="0" t="n">
        <v>0.2165</v>
      </c>
    </row>
    <row r="5" customFormat="false" ht="15" hidden="false" customHeight="false" outlineLevel="0" collapsed="false">
      <c r="A5" s="0" t="s">
        <v>458</v>
      </c>
      <c r="C5" s="0" t="n">
        <v>0.16149999</v>
      </c>
    </row>
    <row r="6" customFormat="false" ht="15" hidden="false" customHeight="false" outlineLevel="0" collapsed="false">
      <c r="A6" s="0" t="s">
        <v>459</v>
      </c>
      <c r="C6" s="0" t="n">
        <v>0.122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false" showOutlineSymbols="true" defaultGridColor="true" view="normal" topLeftCell="A29" colorId="64" zoomScale="73" zoomScaleNormal="73" zoomScalePageLayoutView="100" workbookViewId="0">
      <selection pane="topLeft" activeCell="A59" activeCellId="0" sqref="A59"/>
    </sheetView>
  </sheetViews>
  <sheetFormatPr defaultColWidth="8.57421875" defaultRowHeight="15" customHeight="false" zeroHeight="false" outlineLevelRow="0" outlineLevelCol="0"/>
  <cols>
    <col collapsed="false" customWidth="true" hidden="false" outlineLevel="0" max="1" min="1" style="0" width="53.29"/>
    <col collapsed="false" customWidth="true" hidden="false" outlineLevel="0" max="2" min="2" style="0" width="16.29"/>
  </cols>
  <sheetData>
    <row r="1" customFormat="false" ht="15" hidden="false" customHeight="false" outlineLevel="0" collapsed="false">
      <c r="B1" s="0" t="s">
        <v>330</v>
      </c>
      <c r="C1" s="0" t="s">
        <v>331</v>
      </c>
      <c r="D1" s="0" t="s">
        <v>332</v>
      </c>
      <c r="E1" s="0" t="s">
        <v>333</v>
      </c>
    </row>
    <row r="2" customFormat="false" ht="15" hidden="false" customHeight="false" outlineLevel="0" collapsed="false">
      <c r="A2" s="0" t="s">
        <v>460</v>
      </c>
      <c r="B2" s="0" t="n">
        <v>336131.1408</v>
      </c>
      <c r="C2" s="0" t="n">
        <v>435413.2272</v>
      </c>
      <c r="D2" s="0" t="n">
        <v>111757.7076</v>
      </c>
      <c r="E2" s="0" t="n">
        <v>-1250601.039</v>
      </c>
    </row>
    <row r="3" customFormat="false" ht="15" hidden="false" customHeight="false" outlineLevel="0" collapsed="false">
      <c r="A3" s="0" t="s">
        <v>461</v>
      </c>
      <c r="B3" s="0" t="n">
        <v>0.2184</v>
      </c>
      <c r="C3" s="0" t="n">
        <v>0.2712</v>
      </c>
      <c r="D3" s="0" t="n">
        <v>0.2618</v>
      </c>
      <c r="E3" s="0" t="n">
        <v>0.2635</v>
      </c>
    </row>
    <row r="4" customFormat="false" ht="15" hidden="false" customHeight="false" outlineLevel="0" collapsed="false">
      <c r="A4" s="0" t="s">
        <v>462</v>
      </c>
      <c r="B4" s="0" t="n">
        <v>272844653</v>
      </c>
      <c r="C4" s="0" t="n">
        <v>328508813</v>
      </c>
      <c r="D4" s="0" t="n">
        <v>299911603</v>
      </c>
      <c r="E4" s="0" t="n">
        <v>230849680</v>
      </c>
    </row>
    <row r="5" customFormat="false" ht="15" hidden="false" customHeight="false" outlineLevel="0" collapsed="false">
      <c r="A5" s="0" t="s">
        <v>463</v>
      </c>
      <c r="B5" s="0" t="n">
        <v>1539062</v>
      </c>
      <c r="C5" s="0" t="n">
        <v>1605506</v>
      </c>
      <c r="D5" s="0" t="n">
        <v>426882</v>
      </c>
      <c r="E5" s="0" t="n">
        <v>-4746114</v>
      </c>
    </row>
    <row r="6" customFormat="false" ht="15" hidden="false" customHeight="false" outlineLevel="0" collapsed="false">
      <c r="A6" s="0" t="s">
        <v>464</v>
      </c>
      <c r="B6" s="0" t="n">
        <v>1539062</v>
      </c>
      <c r="C6" s="0" t="n">
        <v>1605506</v>
      </c>
      <c r="D6" s="0" t="n">
        <v>426882</v>
      </c>
      <c r="E6" s="0" t="n">
        <v>-4746114</v>
      </c>
    </row>
    <row r="7" customFormat="false" ht="15" hidden="false" customHeight="false" outlineLevel="0" collapsed="false">
      <c r="A7" s="0" t="s">
        <v>465</v>
      </c>
      <c r="B7" s="0" t="n">
        <v>164984085</v>
      </c>
      <c r="C7" s="0" t="n">
        <v>195704717</v>
      </c>
      <c r="D7" s="0" t="n">
        <v>186194542</v>
      </c>
      <c r="E7" s="0" t="n">
        <v>131811216</v>
      </c>
    </row>
    <row r="8" customFormat="false" ht="15" hidden="false" customHeight="false" outlineLevel="0" collapsed="false">
      <c r="A8" s="0" t="s">
        <v>466</v>
      </c>
      <c r="B8" s="0" t="n">
        <v>4159540</v>
      </c>
      <c r="C8" s="0" t="n">
        <v>4052035</v>
      </c>
      <c r="D8" s="0" t="n">
        <v>3941477</v>
      </c>
      <c r="E8" s="0" t="n">
        <v>4000610</v>
      </c>
    </row>
    <row r="9" customFormat="false" ht="15" hidden="false" customHeight="false" outlineLevel="0" collapsed="false">
      <c r="A9" s="0" t="s">
        <v>467</v>
      </c>
      <c r="B9" s="0" t="n">
        <v>613186506</v>
      </c>
      <c r="C9" s="0" t="n">
        <v>939548121</v>
      </c>
      <c r="D9" s="0" t="n">
        <v>1167622753</v>
      </c>
      <c r="E9" s="0" t="n">
        <v>1039746583</v>
      </c>
    </row>
    <row r="10" customFormat="false" ht="15" hidden="false" customHeight="false" outlineLevel="0" collapsed="false">
      <c r="A10" s="0" t="s">
        <v>468</v>
      </c>
      <c r="B10" s="0" t="n">
        <v>274383715</v>
      </c>
      <c r="C10" s="0" t="n">
        <v>330114319</v>
      </c>
      <c r="D10" s="0" t="n">
        <v>300338485</v>
      </c>
      <c r="E10" s="0" t="n">
        <v>226103566</v>
      </c>
    </row>
    <row r="11" customFormat="false" ht="15" hidden="false" customHeight="false" outlineLevel="0" collapsed="false">
      <c r="A11" s="0" t="s">
        <v>469</v>
      </c>
      <c r="B11" s="0" t="n">
        <v>270224175</v>
      </c>
      <c r="C11" s="0" t="n">
        <v>326062284</v>
      </c>
      <c r="D11" s="0" t="n">
        <v>296397008</v>
      </c>
      <c r="E11" s="0" t="n">
        <v>222102956</v>
      </c>
    </row>
    <row r="12" customFormat="false" ht="15" hidden="false" customHeight="false" outlineLevel="0" collapsed="false">
      <c r="A12" s="0" t="s">
        <v>470</v>
      </c>
      <c r="B12" s="0" t="n">
        <v>2891297</v>
      </c>
      <c r="C12" s="0" t="n">
        <v>-877678</v>
      </c>
      <c r="D12" s="0" t="n">
        <v>-11358713</v>
      </c>
      <c r="E12" s="0" t="n">
        <v>-26629918</v>
      </c>
    </row>
    <row r="13" customFormat="false" ht="15" hidden="false" customHeight="false" outlineLevel="0" collapsed="false">
      <c r="A13" s="0" t="s">
        <v>471</v>
      </c>
      <c r="B13" s="0" t="n">
        <v>57680185</v>
      </c>
      <c r="C13" s="0" t="n">
        <v>57300560</v>
      </c>
      <c r="D13" s="0" t="n">
        <v>44038188</v>
      </c>
      <c r="E13" s="0" t="n">
        <v>42638140</v>
      </c>
    </row>
    <row r="14" customFormat="false" ht="15" hidden="false" customHeight="false" outlineLevel="0" collapsed="false">
      <c r="A14" s="0" t="s">
        <v>472</v>
      </c>
      <c r="B14" s="0" t="n">
        <v>54944195</v>
      </c>
      <c r="C14" s="0" t="n">
        <v>50262100</v>
      </c>
      <c r="D14" s="0" t="n">
        <v>882202</v>
      </c>
      <c r="E14" s="0" t="n">
        <v>21722142</v>
      </c>
    </row>
    <row r="15" customFormat="false" ht="15" hidden="false" customHeight="false" outlineLevel="0" collapsed="false">
      <c r="A15" s="0" t="s">
        <v>473</v>
      </c>
      <c r="B15" s="0" t="n">
        <v>163781154.1408</v>
      </c>
      <c r="C15" s="0" t="n">
        <v>194534624.2272</v>
      </c>
      <c r="D15" s="0" t="n">
        <v>185879417.7076</v>
      </c>
      <c r="E15" s="0" t="n">
        <v>135306728.961</v>
      </c>
    </row>
    <row r="16" customFormat="false" ht="15" hidden="false" customHeight="false" outlineLevel="0" collapsed="false">
      <c r="A16" s="0" t="s">
        <v>474</v>
      </c>
      <c r="B16" s="0" t="n">
        <v>164984085</v>
      </c>
      <c r="C16" s="0" t="n">
        <v>195704717</v>
      </c>
      <c r="D16" s="0" t="n">
        <v>186194542</v>
      </c>
      <c r="E16" s="0" t="n">
        <v>131811216</v>
      </c>
    </row>
    <row r="17" customFormat="false" ht="15" hidden="false" customHeight="false" outlineLevel="0" collapsed="false">
      <c r="A17" s="0" t="s">
        <v>475</v>
      </c>
      <c r="B17" s="0" t="n">
        <v>710498584</v>
      </c>
      <c r="C17" s="0" t="n">
        <v>1041924391</v>
      </c>
      <c r="D17" s="0" t="n">
        <v>1275429017</v>
      </c>
      <c r="E17" s="0" t="n">
        <v>1131540814</v>
      </c>
    </row>
    <row r="18" customFormat="false" ht="15" hidden="false" customHeight="false" outlineLevel="0" collapsed="false">
      <c r="A18" s="0" t="s">
        <v>476</v>
      </c>
      <c r="B18" s="0" t="n">
        <v>127746</v>
      </c>
      <c r="C18" s="0" t="n">
        <v>64106</v>
      </c>
      <c r="D18" s="0" t="n">
        <v>939070</v>
      </c>
      <c r="E18" s="0" t="n">
        <v>4443767</v>
      </c>
    </row>
    <row r="19" customFormat="false" ht="15" hidden="false" customHeight="false" outlineLevel="0" collapsed="false">
      <c r="A19" s="0" t="s">
        <v>477</v>
      </c>
      <c r="B19" s="0" t="n">
        <v>98191273</v>
      </c>
      <c r="C19" s="0" t="n">
        <v>104122546</v>
      </c>
      <c r="D19" s="0" t="n">
        <v>126292238</v>
      </c>
      <c r="E19" s="0" t="n">
        <v>124722232</v>
      </c>
    </row>
    <row r="20" customFormat="false" ht="15" hidden="false" customHeight="false" outlineLevel="0" collapsed="false">
      <c r="A20" s="0" t="s">
        <v>478</v>
      </c>
      <c r="B20" s="0" t="n">
        <v>96078082</v>
      </c>
      <c r="C20" s="0" t="n">
        <v>102409678</v>
      </c>
      <c r="D20" s="0" t="n">
        <v>121400069</v>
      </c>
      <c r="E20" s="0" t="n">
        <v>121400069</v>
      </c>
    </row>
    <row r="21" customFormat="false" ht="15" hidden="false" customHeight="false" outlineLevel="0" collapsed="false">
      <c r="A21" s="0" t="s">
        <v>479</v>
      </c>
      <c r="B21" s="0" t="n">
        <v>1.6802</v>
      </c>
      <c r="C21" s="0" t="n">
        <v>1.8796</v>
      </c>
      <c r="D21" s="0" t="n">
        <v>1.4743</v>
      </c>
      <c r="E21" s="0" t="n">
        <v>1.0568</v>
      </c>
    </row>
    <row r="22" customFormat="false" ht="15" hidden="false" customHeight="false" outlineLevel="0" collapsed="false">
      <c r="A22" s="0" t="s">
        <v>480</v>
      </c>
      <c r="B22" s="0" t="n">
        <v>1.7172</v>
      </c>
      <c r="C22" s="0" t="n">
        <v>1.911</v>
      </c>
      <c r="D22" s="0" t="n">
        <v>1.5337</v>
      </c>
      <c r="E22" s="0" t="n">
        <v>1.0858</v>
      </c>
    </row>
    <row r="23" customFormat="false" ht="15" hidden="false" customHeight="false" outlineLevel="0" collapsed="false">
      <c r="A23" s="0" t="s">
        <v>481</v>
      </c>
      <c r="B23" s="0" t="n">
        <v>164984085</v>
      </c>
      <c r="C23" s="0" t="n">
        <v>195704717</v>
      </c>
      <c r="D23" s="0" t="n">
        <v>186194542</v>
      </c>
      <c r="E23" s="0" t="n">
        <v>131811216</v>
      </c>
    </row>
    <row r="24" customFormat="false" ht="15" hidden="false" customHeight="false" outlineLevel="0" collapsed="false">
      <c r="A24" s="0" t="s">
        <v>482</v>
      </c>
      <c r="B24" s="0" t="n">
        <v>164984085</v>
      </c>
      <c r="C24" s="0" t="n">
        <v>195704717</v>
      </c>
      <c r="D24" s="0" t="n">
        <v>186194542</v>
      </c>
      <c r="E24" s="0" t="n">
        <v>131811216</v>
      </c>
    </row>
    <row r="25" customFormat="false" ht="15" hidden="false" customHeight="false" outlineLevel="0" collapsed="false">
      <c r="A25" s="0" t="s">
        <v>483</v>
      </c>
      <c r="B25" s="0" t="n">
        <v>0</v>
      </c>
      <c r="C25" s="0" t="n">
        <v>0</v>
      </c>
      <c r="D25" s="0" t="n">
        <v>0</v>
      </c>
      <c r="E25" s="0" t="n">
        <v>0</v>
      </c>
    </row>
    <row r="26" customFormat="false" ht="15" hidden="false" customHeight="false" outlineLevel="0" collapsed="false">
      <c r="A26" s="0" t="s">
        <v>484</v>
      </c>
      <c r="B26" s="0" t="n">
        <v>164984085</v>
      </c>
      <c r="C26" s="0" t="n">
        <v>195704717</v>
      </c>
      <c r="D26" s="0" t="n">
        <v>186194542</v>
      </c>
      <c r="E26" s="0" t="n">
        <v>131811216</v>
      </c>
    </row>
    <row r="27" customFormat="false" ht="15" hidden="false" customHeight="false" outlineLevel="0" collapsed="false">
      <c r="A27" s="0" t="s">
        <v>485</v>
      </c>
      <c r="B27" s="0" t="n">
        <v>-1131799</v>
      </c>
      <c r="C27" s="0" t="n">
        <v>-160502</v>
      </c>
      <c r="D27" s="0" t="n">
        <v>-92994</v>
      </c>
      <c r="E27" s="0" t="n">
        <v>-359386</v>
      </c>
    </row>
    <row r="28" customFormat="false" ht="15" hidden="false" customHeight="false" outlineLevel="0" collapsed="false">
      <c r="A28" s="0" t="s">
        <v>486</v>
      </c>
      <c r="B28" s="0" t="n">
        <v>166115884</v>
      </c>
      <c r="C28" s="0" t="n">
        <v>195865219</v>
      </c>
      <c r="D28" s="0" t="n">
        <v>186287536</v>
      </c>
      <c r="E28" s="0" t="n">
        <v>132170602</v>
      </c>
    </row>
    <row r="29" customFormat="false" ht="15" hidden="false" customHeight="false" outlineLevel="0" collapsed="false">
      <c r="A29" s="0" t="s">
        <v>487</v>
      </c>
      <c r="B29" s="0" t="n">
        <v>166115884</v>
      </c>
      <c r="C29" s="0" t="n">
        <v>195865219</v>
      </c>
      <c r="D29" s="0" t="n">
        <v>186287536</v>
      </c>
      <c r="E29" s="0" t="n">
        <v>132170602</v>
      </c>
    </row>
    <row r="30" customFormat="false" ht="15" hidden="false" customHeight="false" outlineLevel="0" collapsed="false">
      <c r="A30" s="0" t="s">
        <v>488</v>
      </c>
      <c r="B30" s="0" t="n">
        <v>46428106</v>
      </c>
      <c r="C30" s="0" t="n">
        <v>72896505</v>
      </c>
      <c r="D30" s="0" t="n">
        <v>66071284</v>
      </c>
      <c r="E30" s="0" t="n">
        <v>47294214</v>
      </c>
    </row>
    <row r="31" customFormat="false" ht="15" hidden="false" customHeight="false" outlineLevel="0" collapsed="false">
      <c r="A31" s="0" t="s">
        <v>489</v>
      </c>
      <c r="B31" s="0" t="n">
        <v>212543990</v>
      </c>
      <c r="C31" s="0" t="n">
        <v>268761724</v>
      </c>
      <c r="D31" s="0" t="n">
        <v>252358820</v>
      </c>
      <c r="E31" s="0" t="n">
        <v>179464816</v>
      </c>
    </row>
    <row r="32" customFormat="false" ht="15" hidden="false" customHeight="false" outlineLevel="0" collapsed="false">
      <c r="A32" s="0" t="s">
        <v>490</v>
      </c>
      <c r="B32" s="0" t="n">
        <v>6485634</v>
      </c>
      <c r="C32" s="0" t="n">
        <v>7463541</v>
      </c>
      <c r="D32" s="0" t="n">
        <v>8016193</v>
      </c>
      <c r="E32" s="0" t="n">
        <v>11146473</v>
      </c>
    </row>
    <row r="33" customFormat="false" ht="15" hidden="false" customHeight="false" outlineLevel="0" collapsed="false">
      <c r="A33" s="0" t="s">
        <v>491</v>
      </c>
      <c r="B33" s="0" t="n">
        <v>-887895</v>
      </c>
      <c r="C33" s="0" t="n">
        <v>-269048</v>
      </c>
      <c r="D33" s="0" t="n">
        <v>-540269</v>
      </c>
      <c r="E33" s="0" t="n">
        <v>-5360335</v>
      </c>
    </row>
    <row r="34" customFormat="false" ht="15" hidden="false" customHeight="false" outlineLevel="0" collapsed="false">
      <c r="A34" s="0" t="s">
        <v>492</v>
      </c>
      <c r="B34" s="0" t="n">
        <v>887895</v>
      </c>
      <c r="C34" s="0" t="n">
        <v>269048</v>
      </c>
      <c r="D34" s="0" t="n">
        <v>540269</v>
      </c>
    </row>
    <row r="35" customFormat="false" ht="15" hidden="false" customHeight="false" outlineLevel="0" collapsed="false">
      <c r="A35" s="0" t="s">
        <v>493</v>
      </c>
      <c r="C35" s="0" t="n">
        <v>5595247</v>
      </c>
      <c r="D35" s="0" t="n">
        <v>5784350</v>
      </c>
      <c r="E35" s="0" t="n">
        <v>8942648</v>
      </c>
    </row>
    <row r="36" customFormat="false" ht="15" hidden="false" customHeight="false" outlineLevel="0" collapsed="false">
      <c r="A36" s="0" t="s">
        <v>494</v>
      </c>
      <c r="D36" s="0" t="n">
        <v>0</v>
      </c>
      <c r="E36" s="0" t="n">
        <v>-3582313</v>
      </c>
    </row>
    <row r="37" customFormat="false" ht="15" hidden="false" customHeight="false" outlineLevel="0" collapsed="false">
      <c r="A37" s="0" t="s">
        <v>495</v>
      </c>
      <c r="B37" s="0" t="n">
        <v>2891297</v>
      </c>
      <c r="C37" s="0" t="n">
        <v>-877678</v>
      </c>
      <c r="D37" s="0" t="n">
        <v>-11358713</v>
      </c>
      <c r="E37" s="0" t="n">
        <v>-26629918</v>
      </c>
    </row>
    <row r="38" customFormat="false" ht="15" hidden="false" customHeight="false" outlineLevel="0" collapsed="false">
      <c r="A38" s="0" t="s">
        <v>496</v>
      </c>
      <c r="B38" s="0" t="n">
        <v>-5627287</v>
      </c>
      <c r="C38" s="0" t="n">
        <v>-6160782</v>
      </c>
      <c r="D38" s="0" t="n">
        <v>-31797273</v>
      </c>
      <c r="E38" s="0" t="n">
        <v>5713920</v>
      </c>
    </row>
    <row r="39" customFormat="false" ht="15" hidden="false" customHeight="false" outlineLevel="0" collapsed="false">
      <c r="A39" s="0" t="s">
        <v>497</v>
      </c>
      <c r="B39" s="0" t="n">
        <v>57680185</v>
      </c>
      <c r="C39" s="0" t="n">
        <v>57300560</v>
      </c>
      <c r="D39" s="0" t="n">
        <v>44038188</v>
      </c>
      <c r="E39" s="0" t="n">
        <v>42638140</v>
      </c>
    </row>
    <row r="40" customFormat="false" ht="15" hidden="false" customHeight="false" outlineLevel="0" collapsed="false">
      <c r="A40" s="0" t="s">
        <v>498</v>
      </c>
      <c r="B40" s="0" t="n">
        <v>54944195</v>
      </c>
      <c r="C40" s="0" t="n">
        <v>50262100</v>
      </c>
      <c r="D40" s="0" t="n">
        <v>882202</v>
      </c>
      <c r="E40" s="0" t="n">
        <v>21722142</v>
      </c>
    </row>
    <row r="41" customFormat="false" ht="15" hidden="false" customHeight="false" outlineLevel="0" collapsed="false">
      <c r="A41" s="0" t="s">
        <v>499</v>
      </c>
      <c r="B41" s="0" t="n">
        <v>158407933</v>
      </c>
      <c r="C41" s="0" t="n">
        <v>248940591</v>
      </c>
      <c r="D41" s="0" t="n">
        <v>249887533</v>
      </c>
      <c r="E41" s="0" t="n">
        <v>190052442</v>
      </c>
    </row>
    <row r="42" customFormat="false" ht="15" hidden="false" customHeight="false" outlineLevel="0" collapsed="false">
      <c r="A42" s="0" t="s">
        <v>500</v>
      </c>
      <c r="B42" s="0" t="n">
        <v>97312078</v>
      </c>
      <c r="C42" s="0" t="n">
        <v>102376270</v>
      </c>
      <c r="D42" s="0" t="n">
        <v>107806264</v>
      </c>
      <c r="E42" s="0" t="n">
        <v>91794231</v>
      </c>
    </row>
    <row r="43" customFormat="false" ht="15" hidden="false" customHeight="false" outlineLevel="0" collapsed="false">
      <c r="A43" s="0" t="s">
        <v>501</v>
      </c>
      <c r="B43" s="0" t="n">
        <v>4381619</v>
      </c>
      <c r="C43" s="0" t="n">
        <v>6678686</v>
      </c>
      <c r="D43" s="0" t="n">
        <v>8846581</v>
      </c>
      <c r="E43" s="0" t="n">
        <v>2315402</v>
      </c>
    </row>
    <row r="44" customFormat="false" ht="15" hidden="false" customHeight="false" outlineLevel="0" collapsed="false">
      <c r="A44" s="0" t="s">
        <v>502</v>
      </c>
      <c r="B44" s="0" t="n">
        <v>4159540</v>
      </c>
      <c r="C44" s="0" t="n">
        <v>4052035</v>
      </c>
      <c r="D44" s="0" t="n">
        <v>3941476</v>
      </c>
      <c r="E44" s="0" t="n">
        <v>4000610</v>
      </c>
    </row>
    <row r="45" customFormat="false" ht="15" hidden="false" customHeight="false" outlineLevel="0" collapsed="false">
      <c r="A45" s="0" t="s">
        <v>503</v>
      </c>
      <c r="B45" s="0" t="n">
        <v>4159540</v>
      </c>
      <c r="C45" s="0" t="n">
        <v>4052035</v>
      </c>
      <c r="D45" s="0" t="n">
        <v>3941476</v>
      </c>
      <c r="E45" s="0" t="n">
        <v>4000610</v>
      </c>
    </row>
    <row r="46" customFormat="false" ht="15" hidden="false" customHeight="false" outlineLevel="0" collapsed="false">
      <c r="A46" s="0" t="s">
        <v>504</v>
      </c>
      <c r="B46" s="0" t="n">
        <v>33000349</v>
      </c>
      <c r="C46" s="0" t="n">
        <v>32934066</v>
      </c>
      <c r="D46" s="0" t="n">
        <v>30132937</v>
      </c>
      <c r="E46" s="0" t="n">
        <v>28080243</v>
      </c>
    </row>
    <row r="47" customFormat="false" ht="15" hidden="false" customHeight="false" outlineLevel="0" collapsed="false">
      <c r="A47" s="0" t="s">
        <v>505</v>
      </c>
      <c r="B47" s="0" t="n">
        <v>10129930</v>
      </c>
      <c r="C47" s="0" t="n">
        <v>9233950</v>
      </c>
      <c r="D47" s="0" t="n">
        <v>9503818</v>
      </c>
      <c r="E47" s="0" t="n">
        <v>8714411</v>
      </c>
    </row>
    <row r="48" customFormat="false" ht="15" hidden="false" customHeight="false" outlineLevel="0" collapsed="false">
      <c r="A48" s="0" t="s">
        <v>506</v>
      </c>
      <c r="B48" s="0" t="n">
        <v>22870419</v>
      </c>
      <c r="C48" s="0" t="n">
        <v>23700116</v>
      </c>
      <c r="D48" s="0" t="n">
        <v>20629119</v>
      </c>
      <c r="E48" s="0" t="n">
        <v>19365832</v>
      </c>
    </row>
    <row r="49" customFormat="false" ht="15" hidden="false" customHeight="false" outlineLevel="0" collapsed="false">
      <c r="A49" s="0" t="s">
        <v>507</v>
      </c>
      <c r="B49" s="0" t="n">
        <v>127746</v>
      </c>
      <c r="C49" s="0" t="n">
        <v>64106</v>
      </c>
      <c r="D49" s="0" t="n">
        <v>939070</v>
      </c>
      <c r="E49" s="0" t="n">
        <v>4443767</v>
      </c>
    </row>
    <row r="50" customFormat="false" ht="15" hidden="false" customHeight="false" outlineLevel="0" collapsed="false">
      <c r="A50" s="0" t="s">
        <v>508</v>
      </c>
      <c r="B50" s="0" t="n">
        <v>255720011</v>
      </c>
      <c r="C50" s="0" t="n">
        <v>351316861</v>
      </c>
      <c r="D50" s="0" t="n">
        <v>357693797</v>
      </c>
      <c r="E50" s="0" t="n">
        <v>281846673</v>
      </c>
    </row>
    <row r="51" customFormat="false" ht="15" hidden="false" customHeight="false" outlineLevel="0" collapsed="false">
      <c r="A51" s="0" t="s">
        <v>509</v>
      </c>
      <c r="B51" s="0" t="n">
        <v>613186506</v>
      </c>
      <c r="C51" s="0" t="n">
        <v>939548121</v>
      </c>
      <c r="D51" s="0" t="n">
        <v>1167622753</v>
      </c>
      <c r="E51" s="0" t="n">
        <v>1039746583</v>
      </c>
    </row>
    <row r="52" customFormat="false" ht="15" hidden="false" customHeight="false" outlineLevel="0" collapsed="false">
      <c r="A52" s="0" t="s">
        <v>510</v>
      </c>
      <c r="B52" s="0" t="n">
        <v>868906517</v>
      </c>
      <c r="C52" s="0" t="n">
        <v>1290864982</v>
      </c>
      <c r="D52" s="0" t="n">
        <v>1525316550</v>
      </c>
      <c r="E52" s="0" t="n">
        <v>1321593256</v>
      </c>
    </row>
    <row r="53" customFormat="false" ht="15" hidden="false" customHeight="false" outlineLevel="0" collapsed="false">
      <c r="A53" s="0" t="s">
        <v>511</v>
      </c>
      <c r="B53" s="0" t="n">
        <v>868906517</v>
      </c>
      <c r="C53" s="0" t="n">
        <v>1290864982</v>
      </c>
      <c r="D53" s="0" t="n">
        <v>1525316550</v>
      </c>
      <c r="E53" s="0" t="n">
        <v>1321593256</v>
      </c>
    </row>
    <row r="58" customFormat="false" ht="15" hidden="false" customHeight="false" outlineLevel="0" collapsed="false">
      <c r="A58" s="0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0" t="s">
        <v>513</v>
      </c>
    </row>
    <row r="2" customFormat="false" ht="15" hidden="false" customHeight="false" outlineLevel="0" collapsed="false">
      <c r="A2" s="0" t="s">
        <v>514</v>
      </c>
      <c r="B2" s="0" t="n">
        <v>425</v>
      </c>
    </row>
    <row r="3" customFormat="false" ht="15" hidden="false" customHeight="false" outlineLevel="0" collapsed="false">
      <c r="A3" s="0" t="s">
        <v>515</v>
      </c>
      <c r="B3" s="0" t="n">
        <v>950</v>
      </c>
    </row>
    <row r="4" customFormat="false" ht="15" hidden="false" customHeight="false" outlineLevel="0" collapsed="false">
      <c r="A4" s="0" t="s">
        <v>516</v>
      </c>
      <c r="B4" s="0" t="n">
        <v>950</v>
      </c>
    </row>
    <row r="5" customFormat="false" ht="15" hidden="false" customHeight="false" outlineLevel="0" collapsed="false">
      <c r="A5" s="0" t="s">
        <v>517</v>
      </c>
      <c r="B5" s="0" t="n">
        <v>950</v>
      </c>
    </row>
    <row r="6" customFormat="false" ht="15" hidden="false" customHeight="false" outlineLevel="0" collapsed="false">
      <c r="A6" s="0" t="s">
        <v>518</v>
      </c>
      <c r="B6" s="0" t="n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73" zoomScaleNormal="73" zoomScalePageLayoutView="100" workbookViewId="0">
      <selection pane="topLeft" activeCell="A1" activeCellId="0" sqref="A1"/>
    </sheetView>
  </sheetViews>
  <sheetFormatPr defaultColWidth="8.57421875" defaultRowHeight="15" customHeight="false" zeroHeight="false" outlineLevelRow="0" outlineLevelCol="0"/>
  <sheetData>
    <row r="1" customFormat="false" ht="15" hidden="false" customHeight="false" outlineLevel="0" collapsed="false">
      <c r="B1" s="0" t="s">
        <v>452</v>
      </c>
      <c r="C1" s="0" t="s">
        <v>519</v>
      </c>
      <c r="D1" s="0" t="s">
        <v>520</v>
      </c>
      <c r="E1" s="0" t="s">
        <v>521</v>
      </c>
      <c r="F1" s="0" t="s">
        <v>522</v>
      </c>
      <c r="G1" s="0" t="s">
        <v>523</v>
      </c>
    </row>
    <row r="2" customFormat="false" ht="15" hidden="false" customHeight="false" outlineLevel="0" collapsed="false">
      <c r="A2" s="0" t="n">
        <v>0</v>
      </c>
      <c r="B2" s="0" t="s">
        <v>524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2026-05-23T00:05:15Z</dcterms:created>
  <dc:creator>openpyxl</dc:creator>
  <dc:description/>
  <dc:language>en-US</dc:language>
  <cp:lastModifiedBy/>
  <dcterms:modified xsi:type="dcterms:W3CDTF">2026-05-24T16:03:25Z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