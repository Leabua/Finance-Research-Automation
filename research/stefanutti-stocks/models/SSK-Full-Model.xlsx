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xr:revisionPtr revIDLastSave="0" documentId="8_{7F44182F-09D5-44E4-9614-818266CE7CEC}" xr6:coauthVersionLast="47" xr6:coauthVersionMax="47" xr10:uidLastSave="{00000000-0000-0000-0000-000000000000}"/>
  <bookViews>
    <workbookView xWindow="0" yWindow="0" windowWidth="0" windowHeight="0" firstSheet="1" activeTab="1" xr2:uid="{00000000-000D-0000-FFFF-FFFF00000000}"/>
  </bookViews>
  <sheets>
    <sheet name="Standardised Data" sheetId="7" r:id="rId1"/>
    <sheet name="Ratios" sheetId="8" r:id="rId2"/>
    <sheet name="Order Book - J curve Reworked" sheetId="11" r:id="rId3"/>
    <sheet name="Order Book" sheetId="9" r:id="rId4"/>
    <sheet name="Infrastruture" sheetId="10" r:id="rId5"/>
    <sheet name="Balance Sheet" sheetId="1" r:id="rId6"/>
    <sheet name="Income Statement" sheetId="5" r:id="rId7"/>
    <sheet name="Cash Flows" sheetId="2" r:id="rId8"/>
    <sheet name="Close Prices" sheetId="3" r:id="rId9"/>
    <sheet name="Growth Estimates" sheetId="4" r:id="rId10"/>
    <sheet name="Price Targets" sheetId="6"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7" l="1"/>
  <c r="I19" i="7"/>
  <c r="I24" i="7"/>
  <c r="I28" i="7"/>
  <c r="I65" i="7"/>
  <c r="I66" i="7"/>
  <c r="I71" i="7"/>
  <c r="I72" i="7"/>
  <c r="I74" i="7"/>
  <c r="I75" i="7"/>
  <c r="I76" i="7"/>
  <c r="I81" i="7"/>
  <c r="F5" i="7"/>
  <c r="F6" i="7"/>
  <c r="F7" i="7"/>
  <c r="F8" i="7"/>
  <c r="F9" i="7"/>
  <c r="F10" i="7"/>
  <c r="F11" i="7"/>
  <c r="F12" i="7"/>
  <c r="F13" i="7"/>
  <c r="F14" i="7"/>
  <c r="F15" i="7"/>
  <c r="F16" i="7"/>
  <c r="F17" i="7"/>
  <c r="F20" i="7"/>
  <c r="F21" i="7"/>
  <c r="F22" i="7"/>
  <c r="F23" i="7"/>
  <c r="F25" i="7"/>
  <c r="F26" i="7"/>
  <c r="F27" i="7"/>
  <c r="F29" i="7"/>
  <c r="F30" i="7"/>
  <c r="F31" i="7"/>
  <c r="F32" i="7"/>
  <c r="F33" i="7"/>
  <c r="F34" i="7"/>
  <c r="F35" i="7"/>
  <c r="F36" i="7"/>
  <c r="F37" i="7"/>
  <c r="F41" i="7"/>
  <c r="F42" i="7"/>
  <c r="F43" i="7"/>
  <c r="F44" i="7"/>
  <c r="F46" i="7"/>
  <c r="F47" i="7"/>
  <c r="F48" i="7"/>
  <c r="F49" i="7"/>
  <c r="F50" i="7"/>
  <c r="F51" i="7"/>
  <c r="F52" i="7"/>
  <c r="F53" i="7"/>
  <c r="F54" i="7"/>
  <c r="F55" i="7"/>
  <c r="F59" i="7"/>
  <c r="F60" i="7"/>
  <c r="F61" i="7"/>
  <c r="F62" i="7"/>
  <c r="F63" i="7"/>
  <c r="F64" i="7"/>
  <c r="F67" i="7"/>
  <c r="F68" i="7"/>
  <c r="F69" i="7"/>
  <c r="F70" i="7"/>
  <c r="I70" i="7" s="1"/>
  <c r="F73" i="7"/>
  <c r="F77" i="7"/>
  <c r="F80" i="7"/>
  <c r="F82" i="7"/>
  <c r="F83" i="7"/>
  <c r="F84" i="7"/>
  <c r="F85" i="7"/>
  <c r="F86" i="7"/>
  <c r="F87" i="7"/>
  <c r="D5" i="7"/>
  <c r="I5" i="7" s="1"/>
  <c r="D6" i="7"/>
  <c r="I6" i="7" s="1"/>
  <c r="D7" i="7"/>
  <c r="I7" i="7" s="1"/>
  <c r="D8" i="7"/>
  <c r="I8" i="7" s="1"/>
  <c r="D9" i="7"/>
  <c r="I9" i="7" s="1"/>
  <c r="D10" i="7"/>
  <c r="I10" i="7" s="1"/>
  <c r="D11" i="7"/>
  <c r="I11" i="7" s="1"/>
  <c r="D12" i="7"/>
  <c r="I12" i="7" s="1"/>
  <c r="D13" i="7"/>
  <c r="I13" i="7" s="1"/>
  <c r="D14" i="7"/>
  <c r="I14" i="7" s="1"/>
  <c r="D15" i="7"/>
  <c r="I15" i="7" s="1"/>
  <c r="D16" i="7"/>
  <c r="I16" i="7" s="1"/>
  <c r="D17" i="7"/>
  <c r="I17" i="7" s="1"/>
  <c r="D20" i="7"/>
  <c r="I20" i="7" s="1"/>
  <c r="D21" i="7"/>
  <c r="I21" i="7" s="1"/>
  <c r="D22" i="7"/>
  <c r="I22" i="7" s="1"/>
  <c r="D23" i="7"/>
  <c r="I23" i="7" s="1"/>
  <c r="D25" i="7"/>
  <c r="I25" i="7" s="1"/>
  <c r="D26" i="7"/>
  <c r="I26" i="7" s="1"/>
  <c r="D27" i="7"/>
  <c r="I27" i="7" s="1"/>
  <c r="D29" i="7"/>
  <c r="I29" i="7" s="1"/>
  <c r="D30" i="7"/>
  <c r="I30" i="7" s="1"/>
  <c r="D31" i="7"/>
  <c r="I31" i="7" s="1"/>
  <c r="D32" i="7"/>
  <c r="I32" i="7" s="1"/>
  <c r="D33" i="7"/>
  <c r="I33" i="7" s="1"/>
  <c r="D34" i="7"/>
  <c r="I34" i="7" s="1"/>
  <c r="D35" i="7"/>
  <c r="I35" i="7" s="1"/>
  <c r="D36" i="7"/>
  <c r="I36" i="7" s="1"/>
  <c r="D37" i="7"/>
  <c r="I37" i="7" s="1"/>
  <c r="D41" i="7"/>
  <c r="I41" i="7" s="1"/>
  <c r="D42" i="7"/>
  <c r="I42" i="7" s="1"/>
  <c r="D43" i="7"/>
  <c r="I43" i="7" s="1"/>
  <c r="D44" i="7"/>
  <c r="I44" i="7" s="1"/>
  <c r="D45" i="7"/>
  <c r="I45" i="7" s="1"/>
  <c r="D46" i="7"/>
  <c r="I46" i="7" s="1"/>
  <c r="D47" i="7"/>
  <c r="I47" i="7" s="1"/>
  <c r="D48" i="7"/>
  <c r="I48" i="7" s="1"/>
  <c r="D49" i="7"/>
  <c r="I49" i="7" s="1"/>
  <c r="D50" i="7"/>
  <c r="I50" i="7" s="1"/>
  <c r="D51" i="7"/>
  <c r="I51" i="7" s="1"/>
  <c r="D52" i="7"/>
  <c r="I52" i="7" s="1"/>
  <c r="D53" i="7"/>
  <c r="I53" i="7" s="1"/>
  <c r="D54" i="7"/>
  <c r="I54" i="7" s="1"/>
  <c r="D55" i="7"/>
  <c r="I55" i="7" s="1"/>
  <c r="D59" i="7"/>
  <c r="I59" i="7" s="1"/>
  <c r="D60" i="7"/>
  <c r="I60" i="7" s="1"/>
  <c r="D61" i="7"/>
  <c r="I61" i="7" s="1"/>
  <c r="D62" i="7"/>
  <c r="I62" i="7" s="1"/>
  <c r="D63" i="7"/>
  <c r="I63" i="7" s="1"/>
  <c r="D64" i="7"/>
  <c r="I64" i="7" s="1"/>
  <c r="D67" i="7"/>
  <c r="I67" i="7" s="1"/>
  <c r="D68" i="7"/>
  <c r="I68" i="7" s="1"/>
  <c r="D69" i="7"/>
  <c r="I69" i="7" s="1"/>
  <c r="D73" i="7"/>
  <c r="I73" i="7" s="1"/>
  <c r="D77" i="7"/>
  <c r="I77" i="7" s="1"/>
  <c r="D78" i="7"/>
  <c r="I78" i="7" s="1"/>
  <c r="D79" i="7"/>
  <c r="I79" i="7" s="1"/>
  <c r="D80" i="7"/>
  <c r="I80" i="7" s="1"/>
  <c r="D82" i="7"/>
  <c r="I82" i="7" s="1"/>
  <c r="D83" i="7"/>
  <c r="I83" i="7" s="1"/>
  <c r="D84" i="7"/>
  <c r="I84" i="7" s="1"/>
  <c r="D85" i="7"/>
  <c r="I85" i="7" s="1"/>
  <c r="D86" i="7"/>
  <c r="I86" i="7" s="1"/>
  <c r="D87" i="7"/>
  <c r="I87" i="7" s="1"/>
  <c r="F4" i="7"/>
  <c r="D4" i="7"/>
  <c r="I4" i="7" s="1"/>
</calcChain>
</file>

<file path=xl/sharedStrings.xml><?xml version="1.0" encoding="utf-8"?>
<sst xmlns="http://schemas.openxmlformats.org/spreadsheetml/2006/main" count="733" uniqueCount="500">
  <si>
    <t>Balance Sheet (R'000)</t>
  </si>
  <si>
    <t>ASSETS</t>
  </si>
  <si>
    <t>% change</t>
  </si>
  <si>
    <t>Average/ Trend</t>
  </si>
  <si>
    <t>Non-current assets</t>
  </si>
  <si>
    <t>Property, plant and equipment</t>
  </si>
  <si>
    <t>Equity-accounted investees</t>
  </si>
  <si>
    <t>Goodwill</t>
  </si>
  <si>
    <t>Trade and other receivables</t>
  </si>
  <si>
    <t>Settlements?</t>
  </si>
  <si>
    <t>Deferred tax assets</t>
  </si>
  <si>
    <t>Current assets</t>
  </si>
  <si>
    <t>???</t>
  </si>
  <si>
    <t>Inventories</t>
  </si>
  <si>
    <t>Contracts in progress</t>
  </si>
  <si>
    <t>Taxation</t>
  </si>
  <si>
    <t>Bank balances</t>
  </si>
  <si>
    <t>Non-current assets held for sale and disposal groups</t>
  </si>
  <si>
    <t>Settlements and disposals</t>
  </si>
  <si>
    <t>Total assets</t>
  </si>
  <si>
    <t>EQUITY AND LIABILITIES</t>
  </si>
  <si>
    <t>Capital and reserves</t>
  </si>
  <si>
    <t>Share capital and premium</t>
  </si>
  <si>
    <t>has stayed the same. No real dilution there</t>
  </si>
  <si>
    <t>Other reserves</t>
  </si>
  <si>
    <t>Accumulated loss</t>
  </si>
  <si>
    <t>Non-current liabilities</t>
  </si>
  <si>
    <t>Financial liabilities</t>
  </si>
  <si>
    <t>Excess billings over work done</t>
  </si>
  <si>
    <t>Deferred tax liabilities</t>
  </si>
  <si>
    <t>check</t>
  </si>
  <si>
    <t>Current liabilities</t>
  </si>
  <si>
    <t>Trade and other payables</t>
  </si>
  <si>
    <t>Likely clients starting to pay way ahead for work to be done</t>
  </si>
  <si>
    <t>Provisions</t>
  </si>
  <si>
    <t>Bank overdrafts</t>
  </si>
  <si>
    <t xml:space="preserve">Damn </t>
  </si>
  <si>
    <t>Liabilities directly associated with disposal groups</t>
  </si>
  <si>
    <t>Okay</t>
  </si>
  <si>
    <t>Total equity and liabilities</t>
  </si>
  <si>
    <t>Income Statement</t>
  </si>
  <si>
    <t>Continuing Operations</t>
  </si>
  <si>
    <t>Contract revenue</t>
  </si>
  <si>
    <t>A specific contract, which is executed in Zimbabwe, is included within the Inland Region for reporting purposes, as the required specialised skills and expertise to execute the</t>
  </si>
  <si>
    <t>Earnings before interest, tax, depreciation &amp; amortisation (EBITDA)</t>
  </si>
  <si>
    <t>contract are derived from the Inland Region.</t>
  </si>
  <si>
    <t>Depreciation</t>
  </si>
  <si>
    <t>** Includes R448 million relating to contract revenue from the recognition of the Kusile Power Project settlement.</t>
  </si>
  <si>
    <t>Fair value adjustments</t>
  </si>
  <si>
    <t>^ Reconciling segments comprise segments that are primarily centralised in nature i.e. the group’s headquarters. Included in reportable segment operating loss are finance costs</t>
  </si>
  <si>
    <t>Impairment of assets</t>
  </si>
  <si>
    <t>Damn</t>
  </si>
  <si>
    <t>on the Facility (including the historical loan) of R80 million (Feb 2025: R115 million). Included in assets is goodwill of R272 million (Feb 2025: R272 million). Included in liabilities</t>
  </si>
  <si>
    <t>Operating profit before investment income</t>
  </si>
  <si>
    <t>is the Facility of R223 million (Feb 2025: R849 million).</t>
  </si>
  <si>
    <t>Investment income</t>
  </si>
  <si>
    <t>Share of losses of equity-accounted investees</t>
  </si>
  <si>
    <t>Operating profit before finance costs</t>
  </si>
  <si>
    <t>Finance costs</t>
  </si>
  <si>
    <t>Profit before taxation</t>
  </si>
  <si>
    <t>Profit for the year from continuing operations</t>
  </si>
  <si>
    <t>Check</t>
  </si>
  <si>
    <t>Loss after tax from discontinued operations</t>
  </si>
  <si>
    <t>APPL</t>
  </si>
  <si>
    <t>To the moon</t>
  </si>
  <si>
    <t>Cash Flow Statement (R'000)</t>
  </si>
  <si>
    <t>Cash flows from operating activities</t>
  </si>
  <si>
    <t>Cash generated from operations</t>
  </si>
  <si>
    <t>Investment income / Interest Received</t>
  </si>
  <si>
    <t>Finance costs / Interest Paid</t>
  </si>
  <si>
    <t>Dividends received</t>
  </si>
  <si>
    <t>Taxation paid</t>
  </si>
  <si>
    <t>Net cash flows from operating activities</t>
  </si>
  <si>
    <t>Cash flows from investing activities</t>
  </si>
  <si>
    <t>Proceeds received plant and equipment / Investments</t>
  </si>
  <si>
    <t>Expenditure for expanding/maintaining plant and equipment</t>
  </si>
  <si>
    <t>Advances to equity-accounted investees / Business</t>
  </si>
  <si>
    <t>Proceeds on disposal of equity-accounted investee</t>
  </si>
  <si>
    <t>Net cash outflow disposal group</t>
  </si>
  <si>
    <t>Net proceeds from sale of joint operation</t>
  </si>
  <si>
    <t>Net cash flows from investing activities</t>
  </si>
  <si>
    <t>Cash flows from financing activities</t>
  </si>
  <si>
    <t>Proceeds from borrowings disposal group</t>
  </si>
  <si>
    <t>Repayment of long-term financing / Total Debt</t>
  </si>
  <si>
    <t>Repayment of short-term financing</t>
  </si>
  <si>
    <t>Open market purchase of shares</t>
  </si>
  <si>
    <t>Net cash flows from financing activities</t>
  </si>
  <si>
    <t>Net increase/(decrease) in cash for the year</t>
  </si>
  <si>
    <t>Cash at the beginning of the year continuing operations</t>
  </si>
  <si>
    <t>Cash at the beginning of the year discontinued operations</t>
  </si>
  <si>
    <t>Less: Cash at the end of the year discontinued operations</t>
  </si>
  <si>
    <t>Effect of exchange rate changes on cash and cash equivalents</t>
  </si>
  <si>
    <t>Cash and cash equivalents at the end of the year</t>
  </si>
  <si>
    <t>Number of ordinary shares</t>
  </si>
  <si>
    <t>VALUATION</t>
  </si>
  <si>
    <t>Metric</t>
  </si>
  <si>
    <t>FY2026</t>
  </si>
  <si>
    <t>FY2025</t>
  </si>
  <si>
    <t>FY2024</t>
  </si>
  <si>
    <t>Note</t>
  </si>
  <si>
    <t>Market Cap</t>
  </si>
  <si>
    <t>R1.20bn</t>
  </si>
  <si>
    <t>-</t>
  </si>
  <si>
    <t>At 720 ZAc per share</t>
  </si>
  <si>
    <t>EPS - Total</t>
  </si>
  <si>
    <t>370.4c</t>
  </si>
  <si>
    <t>EPS - Continuing</t>
  </si>
  <si>
    <t>378.0c</t>
  </si>
  <si>
    <t>P/E - Total</t>
  </si>
  <si>
    <t>1.94x</t>
  </si>
  <si>
    <t>Distressed pricing</t>
  </si>
  <si>
    <t>P/E - Continuing</t>
  </si>
  <si>
    <t>1.90x</t>
  </si>
  <si>
    <t>Book Value/Share</t>
  </si>
  <si>
    <t>354.7c</t>
  </si>
  <si>
    <t>Price/Book</t>
  </si>
  <si>
    <t>2.03x</t>
  </si>
  <si>
    <t>Tangible Book/Share</t>
  </si>
  <si>
    <t>191.8c</t>
  </si>
  <si>
    <t>Ex goodwill</t>
  </si>
  <si>
    <t>Price/Tangible Book</t>
  </si>
  <si>
    <t>3.75x</t>
  </si>
  <si>
    <t>EV (R'000)</t>
  </si>
  <si>
    <t>Net cash position</t>
  </si>
  <si>
    <t>EV/EBITDA</t>
  </si>
  <si>
    <t>0.89x</t>
  </si>
  <si>
    <t>Below 1x</t>
  </si>
  <si>
    <t>PROFITABILITY</t>
  </si>
  <si>
    <t>Trend</t>
  </si>
  <si>
    <t>Revenue (R'000)</t>
  </si>
  <si>
    <t>Growing</t>
  </si>
  <si>
    <t>Revenue Growth</t>
  </si>
  <si>
    <t>Organic Revenue ex-Kusile</t>
  </si>
  <si>
    <t>-3.46% organic</t>
  </si>
  <si>
    <t>EBITDA (R'000)</t>
  </si>
  <si>
    <t>Nearly doubled</t>
  </si>
  <si>
    <t>EBITDA Growth</t>
  </si>
  <si>
    <t>EBITDA Margin</t>
  </si>
  <si>
    <t>Expanding</t>
  </si>
  <si>
    <t>Operating Profit Margin</t>
  </si>
  <si>
    <t>Net Margin - Total</t>
  </si>
  <si>
    <t>Recovering</t>
  </si>
  <si>
    <t>Net Margin - Continuing</t>
  </si>
  <si>
    <t>Effective Tax Rate</t>
  </si>
  <si>
    <t>vs 27% statutory</t>
  </si>
  <si>
    <t>Tax Benefit from DTA</t>
  </si>
  <si>
    <t>R111.8m</t>
  </si>
  <si>
    <t>Deferred tax shield</t>
  </si>
  <si>
    <t>LEVERAGE</t>
  </si>
  <si>
    <t>Total Borrowings (R'000)</t>
  </si>
  <si>
    <t>Falling fast</t>
  </si>
  <si>
    <t>Cash (R'000)</t>
  </si>
  <si>
    <t>Rising fast</t>
  </si>
  <si>
    <t>Net Position (R'000)</t>
  </si>
  <si>
    <t>+441,514 NET CASH</t>
  </si>
  <si>
    <t>-766,530 net debt</t>
  </si>
  <si>
    <t>-453,505 net debt</t>
  </si>
  <si>
    <t>Turned positive</t>
  </si>
  <si>
    <t>Net Cash/EBITDA</t>
  </si>
  <si>
    <t>0.52x</t>
  </si>
  <si>
    <t>Net cash multiple</t>
  </si>
  <si>
    <t>Debt/Equity</t>
  </si>
  <si>
    <t>1.13x</t>
  </si>
  <si>
    <t>75.8x</t>
  </si>
  <si>
    <t>Negative</t>
  </si>
  <si>
    <t>Normalising</t>
  </si>
  <si>
    <t>Equity FY2026 vs FY2025</t>
  </si>
  <si>
    <t>593,170 vs 16,311</t>
  </si>
  <si>
    <t>+R577m swing</t>
  </si>
  <si>
    <t>Accumulated Loss</t>
  </si>
  <si>
    <t>Accumulated Loss improvement</t>
  </si>
  <si>
    <t>R675,479k reduction</t>
  </si>
  <si>
    <t>Restructuring works</t>
  </si>
  <si>
    <t>LIQUIDITY</t>
  </si>
  <si>
    <t>Current Ratio</t>
  </si>
  <si>
    <t>0.97x</t>
  </si>
  <si>
    <t>0.70x</t>
  </si>
  <si>
    <t>0.75x</t>
  </si>
  <si>
    <t>Quick Ratio</t>
  </si>
  <si>
    <t>0.80x</t>
  </si>
  <si>
    <t>Tight</t>
  </si>
  <si>
    <t>Cash Ratio</t>
  </si>
  <si>
    <t>0.26x</t>
  </si>
  <si>
    <t>Excess Billings - Current (R'000)</t>
  </si>
  <si>
    <t>+94.4% - clients paying ahead</t>
  </si>
  <si>
    <t>Excess Billings - Total (R'000)</t>
  </si>
  <si>
    <t>Strong forward demand</t>
  </si>
  <si>
    <t>Bank Overdraft</t>
  </si>
  <si>
    <t>R0</t>
  </si>
  <si>
    <t>R23,629k</t>
  </si>
  <si>
    <t>R3k</t>
  </si>
  <si>
    <t>Fully eliminated</t>
  </si>
  <si>
    <t>INTEREST COVERAGE</t>
  </si>
  <si>
    <t>EBIT Coverage</t>
  </si>
  <si>
    <t>4.83x</t>
  </si>
  <si>
    <t>2.63x</t>
  </si>
  <si>
    <t>1.39x</t>
  </si>
  <si>
    <t>EBITDA Coverage</t>
  </si>
  <si>
    <t>5.97x</t>
  </si>
  <si>
    <t>3.38x</t>
  </si>
  <si>
    <t>1.79x</t>
  </si>
  <si>
    <t>Cash Coverage (OCF/Interest)</t>
  </si>
  <si>
    <t>10.75x</t>
  </si>
  <si>
    <t>1.29x</t>
  </si>
  <si>
    <t>0.92x</t>
  </si>
  <si>
    <t>Transformed</t>
  </si>
  <si>
    <t>ORDER BOOK</t>
  </si>
  <si>
    <t>Order Book (R'000)</t>
  </si>
  <si>
    <t>+78% in 12 months</t>
  </si>
  <si>
    <t>Order Book Coverage</t>
  </si>
  <si>
    <t>1.95x revenue</t>
  </si>
  <si>
    <t>1.75x</t>
  </si>
  <si>
    <t>1.21x</t>
  </si>
  <si>
    <t>Order Book/Market Cap</t>
  </si>
  <si>
    <t>12.7x</t>
  </si>
  <si>
    <t>Extraordinary</t>
  </si>
  <si>
    <t>RETURN METRICS</t>
  </si>
  <si>
    <t>ROE</t>
  </si>
  <si>
    <t>Distorted - very low equity base</t>
  </si>
  <si>
    <t>ROA</t>
  </si>
  <si>
    <t>ROCE</t>
  </si>
  <si>
    <t>Strong</t>
  </si>
  <si>
    <t>CASH FLOW</t>
  </si>
  <si>
    <t>Operating Cash Flow (R'000)</t>
  </si>
  <si>
    <t>OCF Margin</t>
  </si>
  <si>
    <t>Free Cash Flow (R'000)</t>
  </si>
  <si>
    <t>FCF Margin</t>
  </si>
  <si>
    <t>Cash Conversion (OCF/EBITDA)</t>
  </si>
  <si>
    <t>Exceptional</t>
  </si>
  <si>
    <t>Cash Conversion (OCF/Profit)</t>
  </si>
  <si>
    <t>RISK METRICS</t>
  </si>
  <si>
    <t>Provisions (R'000)</t>
  </si>
  <si>
    <t>Declining</t>
  </si>
  <si>
    <t>Provisions/Revenue</t>
  </si>
  <si>
    <t>Improving</t>
  </si>
  <si>
    <t>Provisions/Market Cap</t>
  </si>
  <si>
    <t>Key risk flag</t>
  </si>
  <si>
    <t>Deferred Tax Asset (R'000)</t>
  </si>
  <si>
    <t>Tax shield</t>
  </si>
  <si>
    <t>Implied Tax Losses (R'000)</t>
  </si>
  <si>
    <t>Future income shield</t>
  </si>
  <si>
    <t>Order Book Pipeline</t>
  </si>
  <si>
    <t>ORDER BOOK CONVERSION — J-CURVE MODEL</t>
  </si>
  <si>
    <t>Stefanutti Stocks (SSK.JO) · R15.3B order book as at Feb 2026</t>
  </si>
  <si>
    <t>Construction revenue recognition: 18-36 month typical conversion cycle · 78% private / 22% public sector</t>
  </si>
  <si>
    <t>Yellow cells = editable assumptions.</t>
  </si>
  <si>
    <t>Key Assumptions</t>
  </si>
  <si>
    <t>FY2027</t>
  </si>
  <si>
    <t>FY2028</t>
  </si>
  <si>
    <t>FY2029</t>
  </si>
  <si>
    <t>FY2030</t>
  </si>
  <si>
    <t>FY2031</t>
  </si>
  <si>
    <t>FY2032</t>
  </si>
  <si>
    <t>FY2033</t>
  </si>
  <si>
    <t>Order Book Conversion (% of opening book)</t>
  </si>
  <si>
    <t>Need to read more on the methodolgy and studies around construction contract completion rates and surely tie it to expectations around the economy and how it will move given construction is rather cyclical/volatile</t>
  </si>
  <si>
    <t>New Orders Won (R'000)</t>
  </si>
  <si>
    <t>EBIT Margin (on converted revenue)</t>
  </si>
  <si>
    <t>Assumed on average 5% of revenue converts to earnings prior to interest and tax</t>
  </si>
  <si>
    <t>D&amp;A (R'000)</t>
  </si>
  <si>
    <t>Maintenance CAPEX (R'000)</t>
  </si>
  <si>
    <t>need to make this a percentage of something based on historical results. Theres has to be a trend deeper in the afs.</t>
  </si>
  <si>
    <t>Working Capital Change (R'000)</t>
  </si>
  <si>
    <t>Tax Rate (%)</t>
  </si>
  <si>
    <t>Interest Expense (R'000)</t>
  </si>
  <si>
    <t>Order Book Conversion assumptions (R'000)</t>
  </si>
  <si>
    <t>Opening Order Book</t>
  </si>
  <si>
    <t>At some point all orders need to be assumed to be completed, hence 0 new orders this year.</t>
  </si>
  <si>
    <t>[-] Revenue Recognised (converted)</t>
  </si>
  <si>
    <t>[+] New Orders Won</t>
  </si>
  <si>
    <t>[=] Closing Order Book</t>
  </si>
  <si>
    <t>FCFF WATERFALL (R'000)</t>
  </si>
  <si>
    <t>[+] Revenue (from order conversion)</t>
  </si>
  <si>
    <t>[=] EBIT</t>
  </si>
  <si>
    <t>EBIT × (1 − Tax) = NOPAT</t>
  </si>
  <si>
    <t>[+] Depreciation &amp; Amortisation</t>
  </si>
  <si>
    <t>[-] Maintenance CAPEX</t>
  </si>
  <si>
    <t>[-] Change in Working Capital</t>
  </si>
  <si>
    <t>[=] Free Cash Flow to Firm (FCFF)</t>
  </si>
  <si>
    <t>Cumulative FCFF</t>
  </si>
  <si>
    <t>EBITDA (EBIT + D&amp;A)</t>
  </si>
  <si>
    <t>EBITDA Margin (%)</t>
  </si>
  <si>
    <t>J-Curve Phase</t>
  </si>
  <si>
    <t>RAMP</t>
  </si>
  <si>
    <t>PEAK</t>
  </si>
  <si>
    <t>NORMALIZE</t>
  </si>
  <si>
    <t>STEADY</t>
  </si>
  <si>
    <t>NOTES &amp; ASSUMPTIONS</t>
  </si>
  <si>
    <t>1. Opening order book = R15.3B as at Feb 2026. Conversion rate front-loaded (35% year 1) per 18-36 month cycle.</t>
  </si>
  <si>
    <t xml:space="preserve">2. New orders assumed at R4-5B p.a. (consistent with recent win rate; R8.6B→R15.3B in 12 months). But is theis recent win rate sustainable ? </t>
  </si>
  <si>
    <t>3. EBIT margins: 5.0-5.5%. SSK's FY2025 margin was 5.0% (on continuing ops); improving with restructuring complete.</t>
  </si>
  <si>
    <t>4. Working capital: Negative ΔWC in early years (growth absorbs cash), normalises as revenue stabilises.</t>
  </si>
  <si>
    <t>5. Interest expense declining: debt fell from R1.1B to R24M. Residual interest on Standard Bank facility (R250M).</t>
  </si>
  <si>
    <t>6. Tax rate: 27% statutory (normalised). FY2025's 17.6% was likely Kusile-settlement distorted.</t>
  </si>
  <si>
    <t>7. FCFF = NOPAT + D&amp;A − CAPEX − ΔWC (standard FCFF formula for DCF). Interest excluded (captured in WACC).</t>
  </si>
  <si>
    <t>8. CORRECTED (22 May 2026): Stabilised annual order book conversion rate to constant 45% (eliminates terminal crash) and integrated R1.06B tax loss shield (0% tax rate for FY27-FY31).</t>
  </si>
  <si>
    <t>2. New orders assumed at R4-5B p.a. (consistent with recent win rate; R8.6B→R15.3B in 12 months).</t>
  </si>
  <si>
    <t>Infrastructure</t>
  </si>
  <si>
    <t>SA INFRASTRUCTURE PIPELINE — J-CURVE MODEL</t>
  </si>
  <si>
    <t>Stefanutti Stocks (SSK.JO) · R1T+ government infrastructure commitment (2026 MTEF)</t>
  </si>
  <si>
    <t>Modelling SSK's addressable share of the national pipeline · 78% private / 22% public client mix</t>
  </si>
  <si>
    <t>KEY ASSUMPTIONS</t>
  </si>
  <si>
    <t>FY2034</t>
  </si>
  <si>
    <t>FY2035</t>
  </si>
  <si>
    <t>FY2036</t>
  </si>
  <si>
    <t>SSK Addressable Revenue (R'000)</t>
  </si>
  <si>
    <t>Public Sector EBIT Margin (%)</t>
  </si>
  <si>
    <t>Infrastructure CAPEX (R'000)</t>
  </si>
  <si>
    <t>No tax on losses. Carried over into the next year</t>
  </si>
  <si>
    <t>INFRASTRUCTURE J-CURVE (R'000)</t>
  </si>
  <si>
    <t>[+] Revenue</t>
  </si>
  <si>
    <t>NOPAT (EBIT × (1−Tax))</t>
  </si>
  <si>
    <t>[-] CAPEX</t>
  </si>
  <si>
    <t>[=] Incremental FCFF</t>
  </si>
  <si>
    <t>PROCURE</t>
  </si>
  <si>
    <t>PLATEAU</t>
  </si>
  <si>
    <t>DECLINE</t>
  </si>
  <si>
    <t>TAIL</t>
  </si>
  <si>
    <t>NOTES</t>
  </si>
  <si>
    <t>1. SA government committed R1T+ in infrastructure (2026 MTEF). SSK's addressable share modelled at R1.5-3.5B p.a.</t>
  </si>
  <si>
    <t>2. Public sector margins (3.5-4.5%) lower than private sector due to payment delays, compliance costs, and thin bidding.</t>
  </si>
  <si>
    <t>3. J-curve reflects typical government procurement cycle: 12-18 month lag from budget allocation to site works.</t>
  </si>
  <si>
    <t>4. IFISA (Infrastructure Finance and Implementation Support Agency) expected to accelerate project delivery from FY2028+.</t>
  </si>
  <si>
    <t>5. This is INCREMENTAL revenue to the existing order book — do not double-count with the Order Book J-Curve sheet.</t>
  </si>
  <si>
    <t>6. CORRECTED (22 May 2026): Injected Depreciation (60% capex back-add), Working Capital drag (-5% revenue), and implemented R1.06B tax loss shield (0% tax rate for FY27-FY31).</t>
  </si>
  <si>
    <t>2025-02-28</t>
  </si>
  <si>
    <t>2024-02-29</t>
  </si>
  <si>
    <t>2023-02-28</t>
  </si>
  <si>
    <t>2022-02-28</t>
  </si>
  <si>
    <t>Treasury Shares Number</t>
  </si>
  <si>
    <t>Ordinary Shares Number</t>
  </si>
  <si>
    <t>Share Issued</t>
  </si>
  <si>
    <t>Net Debt</t>
  </si>
  <si>
    <t>Total Debt</t>
  </si>
  <si>
    <t>Tangible Book Value</t>
  </si>
  <si>
    <t>Invested Capital</t>
  </si>
  <si>
    <t>Working Capital</t>
  </si>
  <si>
    <t>Net Tangible Assets</t>
  </si>
  <si>
    <t>Capital Lease Obligations</t>
  </si>
  <si>
    <t>Common Stock Equity</t>
  </si>
  <si>
    <t>Total Capitalization</t>
  </si>
  <si>
    <t>Total Equity Gross Minority Interest</t>
  </si>
  <si>
    <t>Minority Interest</t>
  </si>
  <si>
    <t>Stockholders Equity</t>
  </si>
  <si>
    <t>Retained Earnings</t>
  </si>
  <si>
    <t>Additional Paid In Capital</t>
  </si>
  <si>
    <t>Capital Stock</t>
  </si>
  <si>
    <t>Common Stock</t>
  </si>
  <si>
    <t>Total Liabilities Net Minority Interest</t>
  </si>
  <si>
    <t>Total Non Current Liabilities Net Minority Interest</t>
  </si>
  <si>
    <t>Non Current Deferred Revenue</t>
  </si>
  <si>
    <t>Long Term Debt And Capital Lease Obligation</t>
  </si>
  <si>
    <t>Long Term Capital Lease Obligation</t>
  </si>
  <si>
    <t>Long Term Debt</t>
  </si>
  <si>
    <t>Current Liabilities</t>
  </si>
  <si>
    <t>Current Debt And Capital Lease Obligation</t>
  </si>
  <si>
    <t>Current Capital Lease Obligation</t>
  </si>
  <si>
    <t>Current Debt</t>
  </si>
  <si>
    <t>Current Provisions</t>
  </si>
  <si>
    <t>Payables</t>
  </si>
  <si>
    <t>Other Payable</t>
  </si>
  <si>
    <t>Dividends Payable</t>
  </si>
  <si>
    <t>Total Tax Payable</t>
  </si>
  <si>
    <t>Accounts Payable</t>
  </si>
  <si>
    <t>Total Assets</t>
  </si>
  <si>
    <t>Total Non Current Assets</t>
  </si>
  <si>
    <t>Non Current Deferred Taxes Assets</t>
  </si>
  <si>
    <t>Long Term Equity Investment</t>
  </si>
  <si>
    <t>Goodwill And Other Intangible Assets</t>
  </si>
  <si>
    <t>Net PPE</t>
  </si>
  <si>
    <t>Accumulated Depreciation</t>
  </si>
  <si>
    <t>Gross PPE</t>
  </si>
  <si>
    <t>Other Properties</t>
  </si>
  <si>
    <t>Machinery Furniture Equipment</t>
  </si>
  <si>
    <t>Buildings And Improvements</t>
  </si>
  <si>
    <t>Land And Improvements</t>
  </si>
  <si>
    <t>Properties</t>
  </si>
  <si>
    <t>Current Assets</t>
  </si>
  <si>
    <t>Restricted Cash</t>
  </si>
  <si>
    <t>Prepaid Assets</t>
  </si>
  <si>
    <t>Inventory</t>
  </si>
  <si>
    <t>Other Inventories</t>
  </si>
  <si>
    <t>Finished Goods</t>
  </si>
  <si>
    <t>Raw Materials</t>
  </si>
  <si>
    <t>Other Receivables</t>
  </si>
  <si>
    <t>Taxes Receivable</t>
  </si>
  <si>
    <t>Accounts Receivable</t>
  </si>
  <si>
    <t>Allowance For Doubtful Accounts Receivable</t>
  </si>
  <si>
    <t>Gross Accounts Receivable</t>
  </si>
  <si>
    <t>Cash Cash Equivalents And Short Term Investments</t>
  </si>
  <si>
    <t>Cash And Cash Equivalents</t>
  </si>
  <si>
    <t>Cash Financial</t>
  </si>
  <si>
    <t>Tax Effect Of Unusual Items</t>
  </si>
  <si>
    <t>Tax Rate For Calcs</t>
  </si>
  <si>
    <t>Normalized EBITDA</t>
  </si>
  <si>
    <t>Total Unusual Items</t>
  </si>
  <si>
    <t>Total Unusual Items Excluding Goodwill</t>
  </si>
  <si>
    <t>Net Income From Continuing Operation Net Minority Interest</t>
  </si>
  <si>
    <t>Reconciled Depreciation</t>
  </si>
  <si>
    <t>EBITDA</t>
  </si>
  <si>
    <t>EBIT</t>
  </si>
  <si>
    <t>Net Interest Income</t>
  </si>
  <si>
    <t>Interest Expense</t>
  </si>
  <si>
    <t>Interest Income</t>
  </si>
  <si>
    <t>Normalized Income</t>
  </si>
  <si>
    <t>Net Income From Continuing And Discontinued Operation</t>
  </si>
  <si>
    <t>Total Expenses</t>
  </si>
  <si>
    <t>Rent Expense Supplemental</t>
  </si>
  <si>
    <t>Diluted Average Shares</t>
  </si>
  <si>
    <t>Basic Average Shares</t>
  </si>
  <si>
    <t>Diluted EPS</t>
  </si>
  <si>
    <t>Basic EPS</t>
  </si>
  <si>
    <t>Diluted NI Availto Com Stockholders</t>
  </si>
  <si>
    <t>Net Income Common Stockholders</t>
  </si>
  <si>
    <t>Otherunder Preferred Stock Dividend</t>
  </si>
  <si>
    <t>Net Income</t>
  </si>
  <si>
    <t>Minority Interests</t>
  </si>
  <si>
    <t>Net Income Including Noncontrolling Interests</t>
  </si>
  <si>
    <t>Net Income Discontinuous Operations</t>
  </si>
  <si>
    <t>Net Income Continuous Operations</t>
  </si>
  <si>
    <t>Tax Provision</t>
  </si>
  <si>
    <t>Pretax Income</t>
  </si>
  <si>
    <t>Other Non Operating Income Expenses</t>
  </si>
  <si>
    <t>Special Income Charges</t>
  </si>
  <si>
    <t>Other Special Charges</t>
  </si>
  <si>
    <t>Write Off</t>
  </si>
  <si>
    <t>Impairment Of Capital Assets</t>
  </si>
  <si>
    <t>Net Non Operating Interest Income Expense</t>
  </si>
  <si>
    <t>Interest Expense Non Operating</t>
  </si>
  <si>
    <t>Interest Income Non Operating</t>
  </si>
  <si>
    <t>Operating Income</t>
  </si>
  <si>
    <t>Operating Expense</t>
  </si>
  <si>
    <t>Other Operating Expenses</t>
  </si>
  <si>
    <t>Depreciation And Amortization In Income Statement</t>
  </si>
  <si>
    <t>Depreciation Income Statement</t>
  </si>
  <si>
    <t>Total Revenue</t>
  </si>
  <si>
    <t>Operating Revenue</t>
  </si>
  <si>
    <t>Free Cash Flow</t>
  </si>
  <si>
    <t>Repurchase Of Capital Stock</t>
  </si>
  <si>
    <t>Repayment Of Debt</t>
  </si>
  <si>
    <t>Issuance Of Debt</t>
  </si>
  <si>
    <t>Capital Expenditure</t>
  </si>
  <si>
    <t>End Cash Position</t>
  </si>
  <si>
    <t>Other Cash Adjustment Outside Changein Cash</t>
  </si>
  <si>
    <t>Beginning Cash Position</t>
  </si>
  <si>
    <t>Effect Of Exchange Rate Changes</t>
  </si>
  <si>
    <t>Changes In Cash</t>
  </si>
  <si>
    <t>Financing Cash Flow</t>
  </si>
  <si>
    <t>Net Common Stock Issuance</t>
  </si>
  <si>
    <t>Common Stock Payments</t>
  </si>
  <si>
    <t>Net Issuance Payments Of Debt</t>
  </si>
  <si>
    <t>Net Short Term Debt Issuance</t>
  </si>
  <si>
    <t>Short Term Debt Payments</t>
  </si>
  <si>
    <t>Short Term Debt Issuance</t>
  </si>
  <si>
    <t>Net Long Term Debt Issuance</t>
  </si>
  <si>
    <t>Long Term Debt Payments</t>
  </si>
  <si>
    <t>Long Term Debt Issuance</t>
  </si>
  <si>
    <t>Investing Cash Flow</t>
  </si>
  <si>
    <t>Net Other Investing Changes</t>
  </si>
  <si>
    <t>Net Investment Purchase And Sale</t>
  </si>
  <si>
    <t>Sale Of Investment</t>
  </si>
  <si>
    <t>Net Business Purchase And Sale</t>
  </si>
  <si>
    <t>Sale Of Business</t>
  </si>
  <si>
    <t>Purchase Of Business</t>
  </si>
  <si>
    <t>Net PPE Purchase And Sale</t>
  </si>
  <si>
    <t>Sale Of PPE</t>
  </si>
  <si>
    <t>Capital Expenditure Reported</t>
  </si>
  <si>
    <t>Operating Cash Flow</t>
  </si>
  <si>
    <t>Taxes Refund Paid</t>
  </si>
  <si>
    <t>Interest Received Cfo</t>
  </si>
  <si>
    <t>Interest Paid Cfo</t>
  </si>
  <si>
    <t>Dividend Received Cfo</t>
  </si>
  <si>
    <t>Change In Working Capital</t>
  </si>
  <si>
    <t>Change In Other Current Assets</t>
  </si>
  <si>
    <t>Change In Payable</t>
  </si>
  <si>
    <t>Change In Inventory</t>
  </si>
  <si>
    <t>Change In Receivables</t>
  </si>
  <si>
    <t>Other Non Cash Items</t>
  </si>
  <si>
    <t>Stock Based Compensation</t>
  </si>
  <si>
    <t>Provisionand Write Offof Assets</t>
  </si>
  <si>
    <t>Deferred Tax</t>
  </si>
  <si>
    <t>Depreciation And Amortization</t>
  </si>
  <si>
    <t>Amortization Cash Flow</t>
  </si>
  <si>
    <t>Gain Loss On Investment Securities</t>
  </si>
  <si>
    <t>Net Foreign Currency Exchange Gain Loss</t>
  </si>
  <si>
    <t>Gain Loss On Sale Of PPE</t>
  </si>
  <si>
    <t>Gain Loss On Sale Of Business</t>
  </si>
  <si>
    <t>Net Income From Continuing Operations</t>
  </si>
  <si>
    <t>Date</t>
  </si>
  <si>
    <t>Close</t>
  </si>
  <si>
    <t>period</t>
  </si>
  <si>
    <t>stockTrend</t>
  </si>
  <si>
    <t>indexTrend</t>
  </si>
  <si>
    <t>0q</t>
  </si>
  <si>
    <t>+1q</t>
  </si>
  <si>
    <t>0y</t>
  </si>
  <si>
    <t>+1y</t>
  </si>
  <si>
    <t>LTG</t>
  </si>
  <si>
    <t>Price (ZAc)</t>
  </si>
  <si>
    <t>current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</si>
</sst>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4">
    <font>
      <sz val="11"/>
      <color theme="1"/>
      <name val="Calibri"/>
      <family val="2"/>
      <scheme val="minor"/>
    </font>
    <font>
      <b/>
      <sz val="11"/>
      <color theme="1"/>
      <name val="Calibri"/>
      <family val="2"/>
      <scheme val="minor"/>
    </font>
    <font>
      <b/>
      <sz val="13.5"/>
      <color rgb="FF2F5496"/>
      <name val="Calibri"/>
      <charset val="1"/>
    </font>
    <font>
      <sz val="10"/>
      <color theme="1"/>
      <name val="Calibri"/>
      <charset val="1"/>
    </font>
    <font>
      <sz val="10"/>
      <color rgb="FF000000"/>
      <name val="Calibri"/>
      <charset val="1"/>
    </font>
    <font>
      <b/>
      <sz val="10"/>
      <color rgb="FFC00000"/>
      <name val="Calibri"/>
      <charset val="1"/>
    </font>
    <font>
      <b/>
      <sz val="10"/>
      <color rgb="FF2F5496"/>
      <name val="Calibri"/>
      <charset val="1"/>
    </font>
    <font>
      <b/>
      <sz val="10"/>
      <color rgb="FFFFFFFF"/>
      <name val="Calibri"/>
      <charset val="1"/>
    </font>
    <font>
      <sz val="10"/>
      <color rgb="FF806000"/>
      <name val="Calibri"/>
      <charset val="1"/>
    </font>
    <font>
      <i/>
      <sz val="10"/>
      <color rgb="FF666666"/>
      <name val="Calibri"/>
      <charset val="1"/>
    </font>
    <font>
      <b/>
      <sz val="10"/>
      <color theme="1"/>
      <name val="Calibri"/>
      <charset val="1"/>
    </font>
    <font>
      <b/>
      <sz val="10"/>
      <color rgb="FF000000"/>
      <name val="Calibri"/>
      <charset val="1"/>
    </font>
    <font>
      <b/>
      <sz val="10"/>
      <color rgb="FF0070C0"/>
      <name val="Cambria"/>
      <charset val="1"/>
    </font>
    <font>
      <b/>
      <sz val="10"/>
      <color theme="1"/>
      <name val="Cambria"/>
      <charset val="1"/>
    </font>
  </fonts>
  <fills count="11">
    <fill>
      <patternFill patternType="none"/>
    </fill>
    <fill>
      <patternFill patternType="gray125"/>
    </fill>
    <fill>
      <patternFill patternType="solid">
        <fgColor rgb="FFFF0000"/>
        <bgColor indexed="64"/>
      </patternFill>
    </fill>
    <fill>
      <patternFill patternType="solid">
        <fgColor theme="6" tint="0.39997558519241921"/>
        <bgColor indexed="64"/>
      </patternFill>
    </fill>
    <fill>
      <patternFill patternType="solid">
        <fgColor theme="5" tint="0.59999389629810485"/>
        <bgColor indexed="64"/>
      </patternFill>
    </fill>
    <fill>
      <patternFill patternType="solid">
        <fgColor rgb="FFD6E4F0"/>
        <bgColor indexed="64"/>
      </patternFill>
    </fill>
    <fill>
      <patternFill patternType="solid">
        <fgColor rgb="FF2F5496"/>
        <bgColor indexed="64"/>
      </patternFill>
    </fill>
    <fill>
      <patternFill patternType="solid">
        <fgColor rgb="FFFFFF00"/>
        <bgColor indexed="64"/>
      </patternFill>
    </fill>
    <fill>
      <patternFill patternType="solid">
        <fgColor rgb="FFFFF2CC"/>
        <bgColor indexed="64"/>
      </patternFill>
    </fill>
    <fill>
      <patternFill patternType="solid">
        <fgColor rgb="FFE2EFDA"/>
        <bgColor indexed="64"/>
      </patternFill>
    </fill>
    <fill>
      <patternFill patternType="solid">
        <fgColor rgb="FFFFFFCC"/>
        <bgColor indexed="64"/>
      </patternFill>
    </fill>
  </fills>
  <borders count="1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ck">
        <color rgb="FF2F5496"/>
      </top>
      <bottom style="thick">
        <color rgb="FF2F5496"/>
      </bottom>
      <diagonal/>
    </border>
  </borders>
  <cellStyleXfs count="1">
    <xf numFmtId="0" fontId="0" fillId="0" borderId="0"/>
  </cellStyleXfs>
  <cellXfs count="77">
    <xf numFmtId="0" fontId="0" fillId="0" borderId="0" xfId="0"/>
    <xf numFmtId="164" fontId="0" fillId="0" borderId="0" xfId="0" applyNumberFormat="1"/>
    <xf numFmtId="0" fontId="1" fillId="0" borderId="0" xfId="0" applyFont="1"/>
    <xf numFmtId="0" fontId="1" fillId="0" borderId="1" xfId="0" applyFont="1" applyBorder="1"/>
    <xf numFmtId="0" fontId="1" fillId="0" borderId="4" xfId="0" applyFont="1" applyBorder="1"/>
    <xf numFmtId="10" fontId="1" fillId="0" borderId="0" xfId="0" applyNumberFormat="1" applyFont="1"/>
    <xf numFmtId="0" fontId="1" fillId="0" borderId="5" xfId="0" applyFont="1" applyBorder="1"/>
    <xf numFmtId="0" fontId="0" fillId="0" borderId="4" xfId="0" applyBorder="1"/>
    <xf numFmtId="3" fontId="0" fillId="0" borderId="0" xfId="0" applyNumberFormat="1"/>
    <xf numFmtId="10" fontId="0" fillId="0" borderId="0" xfId="0" applyNumberFormat="1"/>
    <xf numFmtId="3" fontId="0" fillId="0" borderId="5" xfId="0" applyNumberFormat="1" applyBorder="1"/>
    <xf numFmtId="0" fontId="0" fillId="0" borderId="5" xfId="0" applyBorder="1"/>
    <xf numFmtId="0" fontId="0" fillId="0" borderId="6" xfId="0" applyBorder="1"/>
    <xf numFmtId="3" fontId="0" fillId="0" borderId="7" xfId="0" applyNumberFormat="1" applyBorder="1"/>
    <xf numFmtId="10" fontId="0" fillId="0" borderId="7" xfId="0" applyNumberFormat="1" applyBorder="1"/>
    <xf numFmtId="3" fontId="0" fillId="0" borderId="8" xfId="0" applyNumberFormat="1" applyBorder="1"/>
    <xf numFmtId="0" fontId="1" fillId="0" borderId="6" xfId="0" applyFont="1" applyBorder="1"/>
    <xf numFmtId="0" fontId="1" fillId="0" borderId="0" xfId="0" applyFont="1" applyAlignment="1">
      <alignment horizontal="right"/>
    </xf>
    <xf numFmtId="0" fontId="1" fillId="0" borderId="2" xfId="0" applyFont="1" applyBorder="1"/>
    <xf numFmtId="10" fontId="0" fillId="0" borderId="2" xfId="0" applyNumberFormat="1" applyBorder="1"/>
    <xf numFmtId="0" fontId="1" fillId="0" borderId="3" xfId="0" applyFont="1" applyBorder="1"/>
    <xf numFmtId="3" fontId="0" fillId="0" borderId="4" xfId="0" applyNumberFormat="1" applyBorder="1"/>
    <xf numFmtId="3" fontId="0" fillId="0" borderId="6" xfId="0" applyNumberFormat="1" applyBorder="1"/>
    <xf numFmtId="0" fontId="1" fillId="0" borderId="9" xfId="0" applyFont="1" applyBorder="1"/>
    <xf numFmtId="10" fontId="0" fillId="0" borderId="10" xfId="0" applyNumberFormat="1" applyBorder="1"/>
    <xf numFmtId="0" fontId="1" fillId="0" borderId="11" xfId="0" applyFont="1" applyBorder="1"/>
    <xf numFmtId="0" fontId="1" fillId="0" borderId="6" xfId="0" applyFont="1" applyBorder="1" applyAlignment="1">
      <alignment horizontal="right"/>
    </xf>
    <xf numFmtId="10" fontId="1" fillId="0" borderId="7" xfId="0" applyNumberFormat="1" applyFont="1" applyBorder="1" applyAlignment="1">
      <alignment horizontal="right"/>
    </xf>
    <xf numFmtId="0" fontId="1" fillId="0" borderId="8" xfId="0" applyFont="1" applyBorder="1" applyAlignment="1">
      <alignment horizontal="right"/>
    </xf>
    <xf numFmtId="3" fontId="1" fillId="0" borderId="2" xfId="0" applyNumberFormat="1" applyFont="1" applyBorder="1"/>
    <xf numFmtId="3" fontId="1" fillId="0" borderId="7" xfId="0" applyNumberFormat="1" applyFont="1" applyBorder="1" applyAlignment="1">
      <alignment horizontal="right"/>
    </xf>
    <xf numFmtId="3" fontId="1" fillId="0" borderId="0" xfId="0" applyNumberFormat="1" applyFont="1"/>
    <xf numFmtId="3" fontId="1" fillId="0" borderId="10" xfId="0" applyNumberFormat="1" applyFont="1" applyBorder="1"/>
    <xf numFmtId="0" fontId="0" fillId="2" borderId="4" xfId="0" applyFill="1" applyBorder="1"/>
    <xf numFmtId="0" fontId="0" fillId="0" borderId="0" xfId="0" quotePrefix="1"/>
    <xf numFmtId="0" fontId="0" fillId="0" borderId="1" xfId="0" applyBorder="1"/>
    <xf numFmtId="0" fontId="0" fillId="0" borderId="2" xfId="0" applyBorder="1"/>
    <xf numFmtId="0" fontId="0" fillId="0" borderId="3" xfId="0" applyBorder="1"/>
    <xf numFmtId="0" fontId="0" fillId="0" borderId="5" xfId="0" quotePrefix="1" applyBorder="1"/>
    <xf numFmtId="10" fontId="0" fillId="0" borderId="4" xfId="0" applyNumberFormat="1" applyBorder="1"/>
    <xf numFmtId="10" fontId="0" fillId="0" borderId="5" xfId="0" applyNumberFormat="1" applyBorder="1"/>
    <xf numFmtId="0" fontId="0" fillId="0" borderId="7" xfId="0" quotePrefix="1" applyBorder="1"/>
    <xf numFmtId="0" fontId="0" fillId="0" borderId="8" xfId="0" quotePrefix="1" applyBorder="1"/>
    <xf numFmtId="0" fontId="0" fillId="3" borderId="4" xfId="0" quotePrefix="1" applyFill="1" applyBorder="1"/>
    <xf numFmtId="0" fontId="0" fillId="4" borderId="0" xfId="0" quotePrefix="1" applyFill="1"/>
    <xf numFmtId="0" fontId="0" fillId="4" borderId="5" xfId="0" quotePrefix="1" applyFill="1" applyBorder="1"/>
    <xf numFmtId="0" fontId="2" fillId="0" borderId="0" xfId="0" applyFont="1"/>
    <xf numFmtId="0" fontId="3" fillId="0" borderId="0" xfId="0" applyFont="1"/>
    <xf numFmtId="0" fontId="4" fillId="0" borderId="0" xfId="0" applyFont="1"/>
    <xf numFmtId="0" fontId="5" fillId="0" borderId="0" xfId="0" applyFont="1"/>
    <xf numFmtId="0" fontId="6" fillId="5" borderId="0" xfId="0" applyFont="1" applyFill="1"/>
    <xf numFmtId="0" fontId="3" fillId="5" borderId="0" xfId="0" applyFont="1" applyFill="1"/>
    <xf numFmtId="0" fontId="3" fillId="6" borderId="0" xfId="0" applyFont="1" applyFill="1"/>
    <xf numFmtId="0" fontId="7" fillId="6" borderId="0" xfId="0" applyFont="1" applyFill="1"/>
    <xf numFmtId="9" fontId="8" fillId="7" borderId="0" xfId="0" applyNumberFormat="1" applyFont="1" applyFill="1"/>
    <xf numFmtId="10" fontId="4" fillId="0" borderId="0" xfId="0" applyNumberFormat="1" applyFont="1"/>
    <xf numFmtId="0" fontId="8" fillId="8" borderId="0" xfId="0" applyFont="1" applyFill="1"/>
    <xf numFmtId="3" fontId="8" fillId="8" borderId="0" xfId="0" applyNumberFormat="1" applyFont="1" applyFill="1"/>
    <xf numFmtId="4" fontId="4" fillId="0" borderId="0" xfId="0" applyNumberFormat="1" applyFont="1"/>
    <xf numFmtId="10" fontId="8" fillId="8" borderId="0" xfId="0" applyNumberFormat="1" applyFont="1" applyFill="1"/>
    <xf numFmtId="0" fontId="9" fillId="7" borderId="0" xfId="0" applyFont="1" applyFill="1"/>
    <xf numFmtId="0" fontId="4" fillId="7" borderId="0" xfId="0" applyFont="1" applyFill="1"/>
    <xf numFmtId="3" fontId="4" fillId="0" borderId="0" xfId="0" applyNumberFormat="1" applyFont="1"/>
    <xf numFmtId="0" fontId="10" fillId="9" borderId="12" xfId="0" applyFont="1" applyFill="1" applyBorder="1"/>
    <xf numFmtId="3" fontId="10" fillId="9" borderId="12" xfId="0" applyNumberFormat="1" applyFont="1" applyFill="1" applyBorder="1"/>
    <xf numFmtId="0" fontId="10" fillId="0" borderId="0" xfId="0" applyFont="1"/>
    <xf numFmtId="0" fontId="9" fillId="0" borderId="0" xfId="0" applyFont="1"/>
    <xf numFmtId="0" fontId="6" fillId="0" borderId="0" xfId="0" applyFont="1"/>
    <xf numFmtId="0" fontId="13" fillId="0" borderId="0" xfId="0" applyFont="1"/>
    <xf numFmtId="3" fontId="4" fillId="10" borderId="0" xfId="0" applyNumberFormat="1" applyFont="1" applyFill="1"/>
    <xf numFmtId="0" fontId="13" fillId="9" borderId="12" xfId="0" applyFont="1" applyFill="1" applyBorder="1"/>
    <xf numFmtId="10" fontId="8" fillId="7" borderId="0" xfId="0" applyNumberFormat="1" applyFont="1" applyFill="1"/>
    <xf numFmtId="10" fontId="4" fillId="7" borderId="0" xfId="0" applyNumberFormat="1" applyFont="1" applyFill="1"/>
    <xf numFmtId="0" fontId="6" fillId="0" borderId="0" xfId="0" applyFont="1" applyAlignment="1"/>
    <xf numFmtId="0" fontId="11" fillId="0" borderId="0" xfId="0" applyFont="1" applyAlignment="1"/>
    <xf numFmtId="0" fontId="12" fillId="0" borderId="0" xfId="0" applyFont="1" applyAlignment="1"/>
    <xf numFmtId="0" fontId="9" fillId="0" borderId="0" xfId="0" applyFont="1" applyAlignment="1"/>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AF529-A6DC-4552-AE56-F7703537E23F}">
  <dimension ref="B2:K89"/>
  <sheetViews>
    <sheetView topLeftCell="B37" workbookViewId="0">
      <selection activeCell="K45" sqref="K45"/>
    </sheetView>
  </sheetViews>
  <sheetFormatPr defaultRowHeight="15"/>
  <cols>
    <col min="2" max="2" width="61.28515625" bestFit="1" customWidth="1"/>
    <col min="3" max="3" width="9.85546875" bestFit="1" customWidth="1"/>
    <col min="4" max="4" width="9.85546875" style="9" customWidth="1"/>
    <col min="5" max="5" width="14.85546875" style="8" bestFit="1" customWidth="1"/>
    <col min="6" max="6" width="11.85546875" style="9" bestFit="1" customWidth="1"/>
    <col min="7" max="7" width="10.42578125" bestFit="1" customWidth="1"/>
    <col min="8" max="8" width="10.42578125" customWidth="1"/>
    <col min="9" max="9" width="11.85546875" style="9" bestFit="1" customWidth="1"/>
  </cols>
  <sheetData>
    <row r="2" spans="2:10" s="2" customFormat="1">
      <c r="B2" s="3" t="s">
        <v>0</v>
      </c>
      <c r="C2" s="3"/>
      <c r="D2" s="18"/>
      <c r="E2" s="29"/>
      <c r="F2" s="18"/>
      <c r="G2" s="20"/>
      <c r="H2" s="17"/>
    </row>
    <row r="3" spans="2:10" s="2" customFormat="1">
      <c r="B3" s="16" t="s">
        <v>1</v>
      </c>
      <c r="C3" s="26">
        <v>2026</v>
      </c>
      <c r="D3" s="27" t="s">
        <v>2</v>
      </c>
      <c r="E3" s="30">
        <v>2025</v>
      </c>
      <c r="F3" s="27" t="s">
        <v>2</v>
      </c>
      <c r="G3" s="28">
        <v>2024</v>
      </c>
      <c r="I3" s="5" t="s">
        <v>3</v>
      </c>
    </row>
    <row r="4" spans="2:10">
      <c r="B4" s="4" t="s">
        <v>4</v>
      </c>
      <c r="C4" s="21">
        <v>1522945</v>
      </c>
      <c r="D4" s="9">
        <f>(C4-E4)/E4</f>
        <v>0.14078960772798638</v>
      </c>
      <c r="E4" s="8">
        <v>1334992</v>
      </c>
      <c r="F4" s="9">
        <f>(E4-G4)/G4</f>
        <v>0.32311440201312813</v>
      </c>
      <c r="G4" s="10">
        <v>1008977</v>
      </c>
      <c r="H4" s="8"/>
      <c r="I4" s="9">
        <f>(D4+F4)/2</f>
        <v>0.23195200487055725</v>
      </c>
    </row>
    <row r="5" spans="2:10">
      <c r="B5" s="7" t="s">
        <v>5</v>
      </c>
      <c r="C5" s="21">
        <v>1077992</v>
      </c>
      <c r="D5" s="9">
        <f t="shared" ref="D5:D68" si="0">(C5-E5)/E5</f>
        <v>0.24590800553843736</v>
      </c>
      <c r="E5" s="8">
        <v>865226</v>
      </c>
      <c r="F5" s="9">
        <f t="shared" ref="F5:F68" si="1">(E5-G5)/G5</f>
        <v>0.63662123155262496</v>
      </c>
      <c r="G5" s="10">
        <v>528666</v>
      </c>
      <c r="H5" s="8"/>
      <c r="I5" s="9">
        <f t="shared" ref="I5:I68" si="2">(D5+F5)/2</f>
        <v>0.44126461854553117</v>
      </c>
    </row>
    <row r="6" spans="2:10">
      <c r="B6" s="7" t="s">
        <v>6</v>
      </c>
      <c r="C6" s="21">
        <v>2228</v>
      </c>
      <c r="D6" s="9">
        <f t="shared" si="0"/>
        <v>-0.74856111048414398</v>
      </c>
      <c r="E6" s="8">
        <v>8861</v>
      </c>
      <c r="F6" s="9">
        <f t="shared" si="1"/>
        <v>-0.64359263132491351</v>
      </c>
      <c r="G6" s="10">
        <v>24862</v>
      </c>
      <c r="H6" s="8"/>
      <c r="I6" s="9">
        <f t="shared" si="2"/>
        <v>-0.69607687090452874</v>
      </c>
    </row>
    <row r="7" spans="2:10">
      <c r="B7" s="7" t="s">
        <v>7</v>
      </c>
      <c r="C7" s="21">
        <v>272376</v>
      </c>
      <c r="D7" s="9">
        <f t="shared" si="0"/>
        <v>0</v>
      </c>
      <c r="E7" s="8">
        <v>272376</v>
      </c>
      <c r="F7" s="9">
        <f t="shared" si="1"/>
        <v>0</v>
      </c>
      <c r="G7" s="10">
        <v>272376</v>
      </c>
      <c r="H7" s="8"/>
      <c r="I7" s="9">
        <f t="shared" si="2"/>
        <v>0</v>
      </c>
    </row>
    <row r="8" spans="2:10">
      <c r="B8" s="7" t="s">
        <v>8</v>
      </c>
      <c r="C8" s="21">
        <v>1567</v>
      </c>
      <c r="D8" s="9">
        <f t="shared" si="0"/>
        <v>-0.83685580426861006</v>
      </c>
      <c r="E8" s="8">
        <v>9605</v>
      </c>
      <c r="F8" s="9">
        <f t="shared" si="1"/>
        <v>7.7641380757528062E-3</v>
      </c>
      <c r="G8" s="10">
        <v>9531</v>
      </c>
      <c r="H8" s="8"/>
      <c r="I8" s="9">
        <f t="shared" si="2"/>
        <v>-0.41454583309642862</v>
      </c>
      <c r="J8" t="s">
        <v>9</v>
      </c>
    </row>
    <row r="9" spans="2:10">
      <c r="B9" s="7" t="s">
        <v>10</v>
      </c>
      <c r="C9" s="21">
        <v>168782</v>
      </c>
      <c r="D9" s="9">
        <f t="shared" si="0"/>
        <v>-5.6683284523037718E-2</v>
      </c>
      <c r="E9" s="8">
        <v>178924</v>
      </c>
      <c r="F9" s="9">
        <f t="shared" si="1"/>
        <v>3.1012665521890956E-2</v>
      </c>
      <c r="G9" s="10">
        <v>173542</v>
      </c>
      <c r="H9" s="8"/>
      <c r="I9" s="9">
        <f t="shared" si="2"/>
        <v>-1.2835309500573381E-2</v>
      </c>
    </row>
    <row r="10" spans="2:10">
      <c r="B10" s="4" t="s">
        <v>11</v>
      </c>
      <c r="C10" s="21">
        <v>4215338</v>
      </c>
      <c r="D10" s="9">
        <f t="shared" si="0"/>
        <v>0.40367390091822547</v>
      </c>
      <c r="E10" s="8">
        <v>3003075</v>
      </c>
      <c r="F10" s="9">
        <f t="shared" si="1"/>
        <v>-0.12290962427122708</v>
      </c>
      <c r="G10" s="10">
        <v>3423906</v>
      </c>
      <c r="H10" s="8"/>
      <c r="I10" s="9">
        <f t="shared" si="2"/>
        <v>0.14038213832349919</v>
      </c>
      <c r="J10" t="s">
        <v>12</v>
      </c>
    </row>
    <row r="11" spans="2:10">
      <c r="B11" s="7" t="s">
        <v>13</v>
      </c>
      <c r="C11" s="21">
        <v>43943</v>
      </c>
      <c r="D11" s="9">
        <f t="shared" si="0"/>
        <v>-5.6227314705440172E-2</v>
      </c>
      <c r="E11" s="8">
        <v>46561</v>
      </c>
      <c r="F11" s="9">
        <f t="shared" si="1"/>
        <v>5.7457608813046767E-3</v>
      </c>
      <c r="G11" s="10">
        <v>46295</v>
      </c>
      <c r="H11" s="8"/>
      <c r="I11" s="9">
        <f t="shared" si="2"/>
        <v>-2.5240776912067747E-2</v>
      </c>
    </row>
    <row r="12" spans="2:10">
      <c r="B12" s="7" t="s">
        <v>14</v>
      </c>
      <c r="C12" s="21">
        <v>704808</v>
      </c>
      <c r="D12" s="9">
        <f t="shared" si="0"/>
        <v>0.18505515790747998</v>
      </c>
      <c r="E12" s="8">
        <v>594747</v>
      </c>
      <c r="F12" s="9">
        <f t="shared" si="1"/>
        <v>0.11003337115895721</v>
      </c>
      <c r="G12" s="10">
        <v>535792</v>
      </c>
      <c r="H12" s="8"/>
      <c r="I12" s="9">
        <f t="shared" si="2"/>
        <v>0.14754426453321859</v>
      </c>
    </row>
    <row r="13" spans="2:10">
      <c r="B13" s="7" t="s">
        <v>8</v>
      </c>
      <c r="C13" s="21">
        <v>2267935</v>
      </c>
      <c r="D13" s="9">
        <f t="shared" si="0"/>
        <v>0.2871272799916913</v>
      </c>
      <c r="E13" s="8">
        <v>1762013</v>
      </c>
      <c r="F13" s="9">
        <f t="shared" si="1"/>
        <v>-0.11849677293154692</v>
      </c>
      <c r="G13" s="10">
        <v>1998873</v>
      </c>
      <c r="H13" s="8"/>
      <c r="I13" s="9">
        <f t="shared" si="2"/>
        <v>8.4315253530072187E-2</v>
      </c>
    </row>
    <row r="14" spans="2:10">
      <c r="B14" s="7" t="s">
        <v>15</v>
      </c>
      <c r="C14" s="21">
        <v>89565</v>
      </c>
      <c r="D14" s="9">
        <f t="shared" si="0"/>
        <v>-0.15641600421956825</v>
      </c>
      <c r="E14" s="8">
        <v>106172</v>
      </c>
      <c r="F14" s="9">
        <f t="shared" si="1"/>
        <v>0.20482966796032773</v>
      </c>
      <c r="G14" s="10">
        <v>88122</v>
      </c>
      <c r="H14" s="8"/>
      <c r="I14" s="9">
        <f t="shared" si="2"/>
        <v>2.4206831870379739E-2</v>
      </c>
    </row>
    <row r="15" spans="2:10">
      <c r="B15" s="7" t="s">
        <v>16</v>
      </c>
      <c r="C15" s="21">
        <v>1109087</v>
      </c>
      <c r="D15" s="9">
        <f t="shared" si="0"/>
        <v>1.2470167064439142</v>
      </c>
      <c r="E15" s="8">
        <v>493582</v>
      </c>
      <c r="F15" s="9">
        <f t="shared" si="1"/>
        <v>-0.34609657350587686</v>
      </c>
      <c r="G15" s="10">
        <v>754824</v>
      </c>
      <c r="H15" s="8"/>
      <c r="I15" s="9">
        <f t="shared" si="2"/>
        <v>0.45046006646901865</v>
      </c>
    </row>
    <row r="16" spans="2:10">
      <c r="B16" s="7" t="s">
        <v>17</v>
      </c>
      <c r="C16" s="21">
        <v>2326</v>
      </c>
      <c r="D16" s="9">
        <f t="shared" si="0"/>
        <v>-0.99692554966043578</v>
      </c>
      <c r="E16" s="8">
        <v>756558</v>
      </c>
      <c r="F16" s="9">
        <f t="shared" si="1"/>
        <v>0.12001693590411673</v>
      </c>
      <c r="G16" s="10">
        <v>675488</v>
      </c>
      <c r="H16" s="8"/>
      <c r="I16" s="9">
        <f t="shared" si="2"/>
        <v>-0.43845430687815951</v>
      </c>
      <c r="J16" t="s">
        <v>18</v>
      </c>
    </row>
    <row r="17" spans="2:10">
      <c r="B17" s="4" t="s">
        <v>19</v>
      </c>
      <c r="C17" s="21">
        <v>5740609</v>
      </c>
      <c r="D17" s="9">
        <f t="shared" si="0"/>
        <v>0.12679716367740509</v>
      </c>
      <c r="E17" s="8">
        <v>5094625</v>
      </c>
      <c r="F17" s="9">
        <f t="shared" si="1"/>
        <v>-2.6908773853739285E-3</v>
      </c>
      <c r="G17" s="10">
        <v>5108371</v>
      </c>
      <c r="H17" s="8"/>
      <c r="I17" s="9">
        <f t="shared" si="2"/>
        <v>6.205314314601558E-2</v>
      </c>
    </row>
    <row r="18" spans="2:10">
      <c r="B18" s="7"/>
      <c r="C18" s="7"/>
      <c r="G18" s="11"/>
      <c r="I18" s="9">
        <f t="shared" si="2"/>
        <v>0</v>
      </c>
    </row>
    <row r="19" spans="2:10" s="2" customFormat="1">
      <c r="B19" s="4" t="s">
        <v>20</v>
      </c>
      <c r="C19" s="4"/>
      <c r="D19" s="9"/>
      <c r="E19" s="31"/>
      <c r="F19" s="9"/>
      <c r="G19" s="6"/>
      <c r="I19" s="9">
        <f t="shared" si="2"/>
        <v>0</v>
      </c>
    </row>
    <row r="20" spans="2:10">
      <c r="B20" s="7" t="s">
        <v>21</v>
      </c>
      <c r="C20" s="21">
        <v>593170</v>
      </c>
      <c r="D20" s="9">
        <f t="shared" si="0"/>
        <v>35.366255900925758</v>
      </c>
      <c r="E20" s="8">
        <v>16311</v>
      </c>
      <c r="F20" s="9">
        <f t="shared" si="1"/>
        <v>-1.3154749240856429</v>
      </c>
      <c r="G20" s="10">
        <v>-51703</v>
      </c>
      <c r="H20" s="8"/>
      <c r="I20" s="9">
        <f t="shared" si="2"/>
        <v>17.025390488420058</v>
      </c>
    </row>
    <row r="21" spans="2:10">
      <c r="B21" s="7" t="s">
        <v>22</v>
      </c>
      <c r="C21" s="21">
        <v>1007718</v>
      </c>
      <c r="D21" s="9">
        <f t="shared" si="0"/>
        <v>0</v>
      </c>
      <c r="E21" s="8">
        <v>1007718</v>
      </c>
      <c r="F21" s="9">
        <f t="shared" si="1"/>
        <v>0</v>
      </c>
      <c r="G21" s="10">
        <v>1007718</v>
      </c>
      <c r="H21" s="8"/>
      <c r="I21" s="9">
        <f t="shared" si="2"/>
        <v>0</v>
      </c>
      <c r="J21" t="s">
        <v>23</v>
      </c>
    </row>
    <row r="22" spans="2:10">
      <c r="B22" s="7" t="s">
        <v>24</v>
      </c>
      <c r="C22" s="21">
        <v>-28162</v>
      </c>
      <c r="D22" s="9">
        <f t="shared" si="0"/>
        <v>-1.3996991115274349</v>
      </c>
      <c r="E22" s="8">
        <v>70458</v>
      </c>
      <c r="F22" s="9">
        <f t="shared" si="1"/>
        <v>-0.47379348459274973</v>
      </c>
      <c r="G22" s="10">
        <v>133898</v>
      </c>
      <c r="H22" s="8"/>
      <c r="I22" s="9">
        <f t="shared" si="2"/>
        <v>-0.93674629806009224</v>
      </c>
    </row>
    <row r="23" spans="2:10">
      <c r="B23" s="7" t="s">
        <v>25</v>
      </c>
      <c r="C23" s="21">
        <v>-386386</v>
      </c>
      <c r="D23" s="9">
        <f t="shared" si="0"/>
        <v>-0.63612511948317352</v>
      </c>
      <c r="E23" s="8">
        <v>-1061865</v>
      </c>
      <c r="F23" s="9">
        <f t="shared" si="1"/>
        <v>-0.11015830637071898</v>
      </c>
      <c r="G23" s="10">
        <v>-1193319</v>
      </c>
      <c r="H23" s="8"/>
      <c r="I23" s="9">
        <f t="shared" si="2"/>
        <v>-0.37314171292694626</v>
      </c>
    </row>
    <row r="24" spans="2:10">
      <c r="B24" s="7"/>
      <c r="C24" s="21"/>
      <c r="G24" s="10"/>
      <c r="H24" s="8"/>
      <c r="I24" s="9">
        <f t="shared" si="2"/>
        <v>0</v>
      </c>
    </row>
    <row r="25" spans="2:10">
      <c r="B25" s="4" t="s">
        <v>26</v>
      </c>
      <c r="C25" s="21">
        <v>799534</v>
      </c>
      <c r="D25" s="9">
        <f t="shared" si="0"/>
        <v>2.3792931470257566</v>
      </c>
      <c r="E25" s="8">
        <v>236598</v>
      </c>
      <c r="F25" s="9">
        <f t="shared" si="1"/>
        <v>0.2546426412412901</v>
      </c>
      <c r="G25" s="10">
        <v>188578</v>
      </c>
      <c r="H25" s="8"/>
      <c r="I25" s="9">
        <f t="shared" si="2"/>
        <v>1.3169678941335232</v>
      </c>
    </row>
    <row r="26" spans="2:10">
      <c r="B26" s="7" t="s">
        <v>27</v>
      </c>
      <c r="C26" s="21">
        <v>430859</v>
      </c>
      <c r="D26" s="9">
        <f t="shared" si="0"/>
        <v>1.0077493732467218</v>
      </c>
      <c r="E26" s="8">
        <v>214598</v>
      </c>
      <c r="F26" s="9">
        <f t="shared" si="1"/>
        <v>0.43724549935705098</v>
      </c>
      <c r="G26" s="10">
        <v>149312</v>
      </c>
      <c r="H26" s="8"/>
      <c r="I26" s="9">
        <f t="shared" si="2"/>
        <v>0.72249743630188634</v>
      </c>
    </row>
    <row r="27" spans="2:10">
      <c r="B27" s="7" t="s">
        <v>28</v>
      </c>
      <c r="C27" s="21">
        <v>366117</v>
      </c>
      <c r="D27" s="9">
        <f t="shared" si="0"/>
        <v>15.641681818181818</v>
      </c>
      <c r="E27" s="8">
        <v>22000</v>
      </c>
      <c r="F27" s="9">
        <f t="shared" si="1"/>
        <v>-0.43971884072734679</v>
      </c>
      <c r="G27" s="10">
        <v>39266</v>
      </c>
      <c r="H27" s="8"/>
      <c r="I27" s="9">
        <f t="shared" si="2"/>
        <v>7.6009814887272356</v>
      </c>
    </row>
    <row r="28" spans="2:10">
      <c r="B28" s="7" t="s">
        <v>29</v>
      </c>
      <c r="C28" s="21">
        <v>2558</v>
      </c>
      <c r="E28" s="8">
        <v>0</v>
      </c>
      <c r="G28" s="11">
        <v>0</v>
      </c>
      <c r="I28" s="9">
        <f t="shared" si="2"/>
        <v>0</v>
      </c>
      <c r="J28" t="s">
        <v>30</v>
      </c>
    </row>
    <row r="29" spans="2:10">
      <c r="B29" s="4" t="s">
        <v>31</v>
      </c>
      <c r="C29" s="21">
        <v>4347905</v>
      </c>
      <c r="D29" s="9">
        <f t="shared" si="0"/>
        <v>9.839648452923443E-3</v>
      </c>
      <c r="E29" s="8">
        <v>4305540</v>
      </c>
      <c r="F29" s="9">
        <f t="shared" si="1"/>
        <v>-5.5732846923116905E-2</v>
      </c>
      <c r="G29" s="10">
        <v>4559663</v>
      </c>
      <c r="H29" s="8"/>
      <c r="I29" s="9">
        <f t="shared" si="2"/>
        <v>-2.2946599235096732E-2</v>
      </c>
    </row>
    <row r="30" spans="2:10">
      <c r="B30" s="7" t="s">
        <v>27</v>
      </c>
      <c r="C30" s="21">
        <v>236714</v>
      </c>
      <c r="D30" s="9">
        <f t="shared" si="0"/>
        <v>-0.76858200090919315</v>
      </c>
      <c r="E30" s="8">
        <v>1022885</v>
      </c>
      <c r="F30" s="9">
        <f t="shared" si="1"/>
        <v>-3.4115696298632502E-2</v>
      </c>
      <c r="G30" s="10">
        <v>1059014</v>
      </c>
      <c r="H30" s="8"/>
      <c r="I30" s="9">
        <f t="shared" si="2"/>
        <v>-0.40134884860391284</v>
      </c>
    </row>
    <row r="31" spans="2:10">
      <c r="B31" s="7" t="s">
        <v>32</v>
      </c>
      <c r="C31" s="21">
        <v>988727</v>
      </c>
      <c r="D31" s="9">
        <f t="shared" si="0"/>
        <v>-9.4257159084663159E-2</v>
      </c>
      <c r="E31" s="8">
        <v>1091620</v>
      </c>
      <c r="F31" s="9">
        <f t="shared" si="1"/>
        <v>-0.11889956478503998</v>
      </c>
      <c r="G31" s="10">
        <v>1238928</v>
      </c>
      <c r="H31" s="8"/>
      <c r="I31" s="9">
        <f t="shared" si="2"/>
        <v>-0.10657836193485157</v>
      </c>
    </row>
    <row r="32" spans="2:10">
      <c r="B32" s="7" t="s">
        <v>28</v>
      </c>
      <c r="C32" s="21">
        <v>2283962</v>
      </c>
      <c r="D32" s="9">
        <f t="shared" si="0"/>
        <v>0.94427565588472395</v>
      </c>
      <c r="E32" s="8">
        <v>1174711</v>
      </c>
      <c r="F32" s="9">
        <f t="shared" si="1"/>
        <v>-4.130737452726866E-2</v>
      </c>
      <c r="G32" s="10">
        <v>1225326</v>
      </c>
      <c r="H32" s="8"/>
      <c r="I32" s="9">
        <f t="shared" si="2"/>
        <v>0.45148414067872766</v>
      </c>
      <c r="J32" t="s">
        <v>33</v>
      </c>
    </row>
    <row r="33" spans="2:11">
      <c r="B33" s="7" t="s">
        <v>34</v>
      </c>
      <c r="C33" s="21">
        <v>827329</v>
      </c>
      <c r="D33" s="9">
        <f t="shared" si="0"/>
        <v>-0.10923901984196625</v>
      </c>
      <c r="E33" s="8">
        <v>928789</v>
      </c>
      <c r="F33" s="9">
        <f t="shared" si="1"/>
        <v>-3.8593356816720888E-2</v>
      </c>
      <c r="G33" s="10">
        <v>966073</v>
      </c>
      <c r="H33" s="8"/>
      <c r="I33" s="9">
        <f t="shared" si="2"/>
        <v>-7.3916188329343574E-2</v>
      </c>
    </row>
    <row r="34" spans="2:11">
      <c r="B34" s="7" t="s">
        <v>15</v>
      </c>
      <c r="C34" s="21">
        <v>11173</v>
      </c>
      <c r="D34" s="9">
        <f t="shared" si="0"/>
        <v>-0.8251650862203862</v>
      </c>
      <c r="E34" s="8">
        <v>63906</v>
      </c>
      <c r="F34" s="9">
        <f t="shared" si="1"/>
        <v>-9.1198680299776735E-2</v>
      </c>
      <c r="G34" s="10">
        <v>70319</v>
      </c>
      <c r="H34" s="8"/>
      <c r="I34" s="9">
        <f t="shared" si="2"/>
        <v>-0.45818188326008147</v>
      </c>
    </row>
    <row r="35" spans="2:11">
      <c r="B35" s="7" t="s">
        <v>35</v>
      </c>
      <c r="C35" s="7">
        <v>0</v>
      </c>
      <c r="D35" s="9">
        <f t="shared" si="0"/>
        <v>-1</v>
      </c>
      <c r="E35" s="8">
        <v>23629</v>
      </c>
      <c r="F35" s="9">
        <f t="shared" si="1"/>
        <v>7875.333333333333</v>
      </c>
      <c r="G35" s="11">
        <v>3</v>
      </c>
      <c r="I35" s="9">
        <f t="shared" si="2"/>
        <v>3937.1666666666665</v>
      </c>
      <c r="J35" t="s">
        <v>36</v>
      </c>
    </row>
    <row r="36" spans="2:11">
      <c r="B36" s="7" t="s">
        <v>37</v>
      </c>
      <c r="C36" s="7">
        <v>0</v>
      </c>
      <c r="D36" s="9">
        <f t="shared" si="0"/>
        <v>-1</v>
      </c>
      <c r="E36" s="8">
        <v>536176</v>
      </c>
      <c r="F36" s="9">
        <f t="shared" si="1"/>
        <v>0.30192578059553266</v>
      </c>
      <c r="G36" s="10">
        <v>411833</v>
      </c>
      <c r="H36" s="8"/>
      <c r="I36" s="9">
        <f t="shared" si="2"/>
        <v>-0.34903710970223367</v>
      </c>
      <c r="J36" t="s">
        <v>38</v>
      </c>
    </row>
    <row r="37" spans="2:11">
      <c r="B37" s="16" t="s">
        <v>39</v>
      </c>
      <c r="C37" s="22">
        <v>5740609</v>
      </c>
      <c r="D37" s="14">
        <f t="shared" si="0"/>
        <v>0.12679716367740509</v>
      </c>
      <c r="E37" s="13">
        <v>5094625</v>
      </c>
      <c r="F37" s="14">
        <f t="shared" si="1"/>
        <v>-2.6908773853739285E-3</v>
      </c>
      <c r="G37" s="15">
        <v>5108371</v>
      </c>
      <c r="H37" s="8"/>
      <c r="I37" s="9">
        <f t="shared" si="2"/>
        <v>6.205314314601558E-2</v>
      </c>
    </row>
    <row r="39" spans="2:11" s="2" customFormat="1">
      <c r="B39" s="3" t="s">
        <v>40</v>
      </c>
      <c r="C39" s="3"/>
      <c r="D39" s="19"/>
      <c r="E39" s="29"/>
      <c r="F39" s="19"/>
      <c r="G39" s="20"/>
      <c r="I39" s="9"/>
    </row>
    <row r="40" spans="2:11" s="2" customFormat="1">
      <c r="B40" s="16" t="s">
        <v>41</v>
      </c>
      <c r="C40" s="26">
        <v>2026</v>
      </c>
      <c r="D40" s="14"/>
      <c r="E40" s="30">
        <v>2025</v>
      </c>
      <c r="F40" s="14"/>
      <c r="G40" s="28">
        <v>2024</v>
      </c>
      <c r="I40" s="9"/>
    </row>
    <row r="41" spans="2:11">
      <c r="B41" s="7" t="s">
        <v>42</v>
      </c>
      <c r="C41" s="21">
        <v>7839869</v>
      </c>
      <c r="D41" s="9">
        <f t="shared" si="0"/>
        <v>2.3870422853796567E-2</v>
      </c>
      <c r="E41" s="8">
        <v>7657091</v>
      </c>
      <c r="F41" s="9">
        <f t="shared" si="1"/>
        <v>8.0864867947465252E-2</v>
      </c>
      <c r="G41" s="10">
        <v>7084226</v>
      </c>
      <c r="H41" s="8"/>
      <c r="I41" s="9">
        <f t="shared" si="2"/>
        <v>5.2367645400630908E-2</v>
      </c>
      <c r="K41" t="s">
        <v>43</v>
      </c>
    </row>
    <row r="42" spans="2:11">
      <c r="B42" s="7" t="s">
        <v>44</v>
      </c>
      <c r="C42" s="21">
        <v>852146</v>
      </c>
      <c r="D42" s="9">
        <f t="shared" si="0"/>
        <v>0.98967042973720765</v>
      </c>
      <c r="E42" s="8">
        <v>428285</v>
      </c>
      <c r="F42" s="9">
        <f t="shared" si="1"/>
        <v>0.58479095050083807</v>
      </c>
      <c r="G42" s="10">
        <v>270247</v>
      </c>
      <c r="H42" s="8"/>
      <c r="I42" s="9">
        <f t="shared" si="2"/>
        <v>0.78723069011902291</v>
      </c>
      <c r="K42" t="s">
        <v>45</v>
      </c>
    </row>
    <row r="43" spans="2:11">
      <c r="B43" s="7" t="s">
        <v>46</v>
      </c>
      <c r="C43" s="21">
        <v>-133578</v>
      </c>
      <c r="D43" s="9">
        <f t="shared" si="0"/>
        <v>0.47297267494431333</v>
      </c>
      <c r="E43" s="8">
        <v>-90686</v>
      </c>
      <c r="F43" s="9">
        <f t="shared" si="1"/>
        <v>0.57010284289622215</v>
      </c>
      <c r="G43" s="10">
        <v>-57758</v>
      </c>
      <c r="H43" s="8"/>
      <c r="I43" s="9">
        <f t="shared" si="2"/>
        <v>0.52153775892026777</v>
      </c>
      <c r="K43" t="s">
        <v>47</v>
      </c>
    </row>
    <row r="44" spans="2:11">
      <c r="B44" s="7" t="s">
        <v>48</v>
      </c>
      <c r="C44" s="21">
        <v>-2356</v>
      </c>
      <c r="D44" s="9">
        <f t="shared" si="0"/>
        <v>0.1989821882951654</v>
      </c>
      <c r="E44" s="8">
        <v>-1965</v>
      </c>
      <c r="F44" s="9">
        <f t="shared" si="1"/>
        <v>-0.28363106088224571</v>
      </c>
      <c r="G44" s="10">
        <v>-2743</v>
      </c>
      <c r="H44" s="8"/>
      <c r="I44" s="9">
        <f t="shared" si="2"/>
        <v>-4.2324436293540157E-2</v>
      </c>
      <c r="K44" t="s">
        <v>49</v>
      </c>
    </row>
    <row r="45" spans="2:11">
      <c r="B45" s="33" t="s">
        <v>50</v>
      </c>
      <c r="C45" s="21">
        <v>-27150</v>
      </c>
      <c r="D45" s="9">
        <f t="shared" si="0"/>
        <v>10.992049469964664</v>
      </c>
      <c r="E45" s="8">
        <v>-2264</v>
      </c>
      <c r="G45" s="11">
        <v>0</v>
      </c>
      <c r="I45" s="9">
        <f t="shared" si="2"/>
        <v>5.4960247349823321</v>
      </c>
      <c r="J45" t="s">
        <v>51</v>
      </c>
      <c r="K45" t="s">
        <v>52</v>
      </c>
    </row>
    <row r="46" spans="2:11">
      <c r="B46" s="7" t="s">
        <v>53</v>
      </c>
      <c r="C46" s="21">
        <v>689062</v>
      </c>
      <c r="D46" s="9">
        <f t="shared" si="0"/>
        <v>1.0669586345501996</v>
      </c>
      <c r="E46" s="8">
        <v>333370</v>
      </c>
      <c r="F46" s="9">
        <f t="shared" si="1"/>
        <v>0.58939860593289028</v>
      </c>
      <c r="G46" s="10">
        <v>209746</v>
      </c>
      <c r="H46" s="8"/>
      <c r="I46" s="9">
        <f t="shared" si="2"/>
        <v>0.82817862024154487</v>
      </c>
      <c r="K46" t="s">
        <v>54</v>
      </c>
    </row>
    <row r="47" spans="2:11">
      <c r="B47" s="7" t="s">
        <v>55</v>
      </c>
      <c r="C47" s="21">
        <v>167469</v>
      </c>
      <c r="D47" s="9">
        <f t="shared" si="0"/>
        <v>2.3645879374773977</v>
      </c>
      <c r="E47" s="8">
        <v>49774</v>
      </c>
      <c r="F47" s="9">
        <f t="shared" si="1"/>
        <v>0.14184120575348122</v>
      </c>
      <c r="G47" s="10">
        <v>43591</v>
      </c>
      <c r="H47" s="8"/>
      <c r="I47" s="9">
        <f t="shared" si="2"/>
        <v>1.2532145716154395</v>
      </c>
    </row>
    <row r="48" spans="2:11">
      <c r="B48" s="7" t="s">
        <v>56</v>
      </c>
      <c r="C48" s="7">
        <v>-887</v>
      </c>
      <c r="D48" s="9">
        <f t="shared" si="0"/>
        <v>-0.69455922865013775</v>
      </c>
      <c r="E48" s="8">
        <v>-2904</v>
      </c>
      <c r="F48" s="9">
        <f t="shared" si="1"/>
        <v>0.43054187192118226</v>
      </c>
      <c r="G48" s="10">
        <v>-2030</v>
      </c>
      <c r="H48" s="8"/>
      <c r="I48" s="9">
        <f t="shared" si="2"/>
        <v>-0.13200867836447774</v>
      </c>
    </row>
    <row r="49" spans="2:10">
      <c r="B49" s="7" t="s">
        <v>57</v>
      </c>
      <c r="C49" s="21">
        <v>855644</v>
      </c>
      <c r="D49" s="9">
        <f t="shared" si="0"/>
        <v>1.2502735114664423</v>
      </c>
      <c r="E49" s="8">
        <v>380240</v>
      </c>
      <c r="F49" s="9">
        <f t="shared" si="1"/>
        <v>0.51304977577226263</v>
      </c>
      <c r="G49" s="10">
        <v>251307</v>
      </c>
      <c r="H49" s="8"/>
      <c r="I49" s="9">
        <f t="shared" si="2"/>
        <v>0.88166164361935251</v>
      </c>
    </row>
    <row r="50" spans="2:10">
      <c r="B50" s="7" t="s">
        <v>58</v>
      </c>
      <c r="C50" s="21">
        <v>-142766</v>
      </c>
      <c r="D50" s="9">
        <f t="shared" si="0"/>
        <v>0.12764008024896134</v>
      </c>
      <c r="E50" s="8">
        <v>-126606</v>
      </c>
      <c r="F50" s="9">
        <f t="shared" si="1"/>
        <v>-0.16056013048494253</v>
      </c>
      <c r="G50" s="10">
        <v>-150822</v>
      </c>
      <c r="H50" s="8"/>
      <c r="I50" s="9">
        <f t="shared" si="2"/>
        <v>-1.6460025117990593E-2</v>
      </c>
    </row>
    <row r="51" spans="2:10">
      <c r="B51" s="7" t="s">
        <v>59</v>
      </c>
      <c r="C51" s="21">
        <v>712878</v>
      </c>
      <c r="D51" s="9">
        <f t="shared" si="0"/>
        <v>1.8106563000228677</v>
      </c>
      <c r="E51" s="8">
        <v>253634</v>
      </c>
      <c r="F51" s="9">
        <f t="shared" si="1"/>
        <v>1.5240981240981242</v>
      </c>
      <c r="G51" s="10">
        <v>100485</v>
      </c>
      <c r="H51" s="8"/>
      <c r="I51" s="9">
        <f t="shared" si="2"/>
        <v>1.6673772120604959</v>
      </c>
    </row>
    <row r="52" spans="2:10">
      <c r="B52" s="7" t="s">
        <v>15</v>
      </c>
      <c r="C52" s="21">
        <v>-80679</v>
      </c>
      <c r="D52" s="9">
        <f t="shared" si="0"/>
        <v>0.8076087200053772</v>
      </c>
      <c r="E52" s="8">
        <v>-44633</v>
      </c>
      <c r="F52" s="9">
        <f t="shared" si="1"/>
        <v>-0.39965835418179863</v>
      </c>
      <c r="G52" s="10">
        <v>-74346</v>
      </c>
      <c r="H52" s="8"/>
      <c r="I52" s="9">
        <f t="shared" si="2"/>
        <v>0.20397518291178929</v>
      </c>
    </row>
    <row r="53" spans="2:10">
      <c r="B53" s="7" t="s">
        <v>60</v>
      </c>
      <c r="C53" s="21">
        <v>632199</v>
      </c>
      <c r="D53" s="9">
        <f t="shared" si="0"/>
        <v>2.024861125066387</v>
      </c>
      <c r="E53" s="8">
        <v>209001</v>
      </c>
      <c r="F53" s="9">
        <f t="shared" si="1"/>
        <v>6.9957534718237113</v>
      </c>
      <c r="G53" s="10">
        <v>26139</v>
      </c>
      <c r="H53" s="8"/>
      <c r="I53" s="9">
        <f t="shared" si="2"/>
        <v>4.5103072984450492</v>
      </c>
      <c r="J53" t="s">
        <v>61</v>
      </c>
    </row>
    <row r="54" spans="2:10">
      <c r="B54" s="7" t="s">
        <v>62</v>
      </c>
      <c r="C54" s="21">
        <v>-12658</v>
      </c>
      <c r="D54" s="9">
        <f t="shared" si="0"/>
        <v>-0.8367699588636569</v>
      </c>
      <c r="E54" s="8">
        <v>-77547</v>
      </c>
      <c r="F54" s="9">
        <f t="shared" si="1"/>
        <v>6.5633473129815663</v>
      </c>
      <c r="G54" s="10">
        <v>-10253</v>
      </c>
      <c r="H54" s="8"/>
      <c r="I54" s="9">
        <f t="shared" si="2"/>
        <v>2.8632886770589545</v>
      </c>
      <c r="J54" t="s">
        <v>61</v>
      </c>
    </row>
    <row r="55" spans="2:10">
      <c r="B55" s="12" t="s">
        <v>63</v>
      </c>
      <c r="C55" s="22">
        <v>619541</v>
      </c>
      <c r="D55" s="14">
        <f t="shared" si="0"/>
        <v>3.712987052505059</v>
      </c>
      <c r="E55" s="13">
        <v>131454</v>
      </c>
      <c r="F55" s="14">
        <f t="shared" si="1"/>
        <v>7.2748331864534812</v>
      </c>
      <c r="G55" s="15">
        <v>15886</v>
      </c>
      <c r="H55" s="8"/>
      <c r="I55" s="9">
        <f t="shared" si="2"/>
        <v>5.4939101194792705</v>
      </c>
      <c r="J55" t="s">
        <v>64</v>
      </c>
    </row>
    <row r="57" spans="2:10">
      <c r="B57" s="23" t="s">
        <v>65</v>
      </c>
      <c r="C57" s="23">
        <v>2026</v>
      </c>
      <c r="D57" s="24"/>
      <c r="E57" s="32">
        <v>2025</v>
      </c>
      <c r="F57" s="24"/>
      <c r="G57" s="25">
        <v>2024</v>
      </c>
    </row>
    <row r="58" spans="2:10">
      <c r="B58" s="4" t="s">
        <v>66</v>
      </c>
      <c r="C58" s="7"/>
      <c r="G58" s="11"/>
    </row>
    <row r="59" spans="2:10">
      <c r="B59" s="7" t="s">
        <v>67</v>
      </c>
      <c r="C59" s="21">
        <v>1676295</v>
      </c>
      <c r="D59" s="9">
        <f t="shared" si="0"/>
        <v>3.1615236042978294</v>
      </c>
      <c r="E59" s="8">
        <v>402808</v>
      </c>
      <c r="F59" s="9">
        <f t="shared" si="1"/>
        <v>0.11638683643095889</v>
      </c>
      <c r="G59" s="10">
        <v>360814</v>
      </c>
      <c r="I59" s="9">
        <f t="shared" si="2"/>
        <v>1.6389552203643942</v>
      </c>
    </row>
    <row r="60" spans="2:10">
      <c r="B60" s="7" t="s">
        <v>68</v>
      </c>
      <c r="C60" s="21">
        <v>167782</v>
      </c>
      <c r="D60" s="9">
        <f t="shared" si="0"/>
        <v>2.3890560930777465</v>
      </c>
      <c r="E60" s="8">
        <v>49507</v>
      </c>
      <c r="F60" s="9">
        <f t="shared" si="1"/>
        <v>2.1325613768666161</v>
      </c>
      <c r="G60" s="10">
        <v>15804</v>
      </c>
      <c r="I60" s="9">
        <f t="shared" si="2"/>
        <v>2.2608087349721813</v>
      </c>
    </row>
    <row r="61" spans="2:10">
      <c r="B61" s="7" t="s">
        <v>69</v>
      </c>
      <c r="C61" s="21">
        <v>-144888</v>
      </c>
      <c r="D61" s="9">
        <f t="shared" si="0"/>
        <v>-0.11312427694360619</v>
      </c>
      <c r="E61" s="8">
        <v>-163369</v>
      </c>
      <c r="F61" s="9">
        <f t="shared" si="1"/>
        <v>4.3093909066319125E-3</v>
      </c>
      <c r="G61" s="10">
        <v>-162668</v>
      </c>
      <c r="I61" s="9">
        <f t="shared" si="2"/>
        <v>-5.4407443018487135E-2</v>
      </c>
    </row>
    <row r="62" spans="2:10">
      <c r="B62" s="7" t="s">
        <v>70</v>
      </c>
      <c r="C62" s="21">
        <v>6399</v>
      </c>
      <c r="D62" s="9">
        <f t="shared" si="0"/>
        <v>-0.52121212121212124</v>
      </c>
      <c r="E62" s="8">
        <v>13365</v>
      </c>
      <c r="F62" s="9">
        <f t="shared" si="1"/>
        <v>0.39757398305970931</v>
      </c>
      <c r="G62" s="10">
        <v>9563</v>
      </c>
      <c r="I62" s="9">
        <f t="shared" si="2"/>
        <v>-6.1819069076205962E-2</v>
      </c>
    </row>
    <row r="63" spans="2:10">
      <c r="B63" s="7" t="s">
        <v>71</v>
      </c>
      <c r="C63" s="21">
        <v>-148033</v>
      </c>
      <c r="D63" s="9">
        <f t="shared" si="0"/>
        <v>0.61282344609685679</v>
      </c>
      <c r="E63" s="8">
        <v>-91785</v>
      </c>
      <c r="F63" s="9">
        <f t="shared" si="1"/>
        <v>0.46201019432940427</v>
      </c>
      <c r="G63" s="10">
        <v>-62780</v>
      </c>
      <c r="I63" s="9">
        <f t="shared" si="2"/>
        <v>0.53741682021313053</v>
      </c>
    </row>
    <row r="64" spans="2:10">
      <c r="B64" s="4" t="s">
        <v>72</v>
      </c>
      <c r="C64" s="21">
        <v>1557555</v>
      </c>
      <c r="D64" s="9">
        <f t="shared" si="0"/>
        <v>6.3983973475960214</v>
      </c>
      <c r="E64" s="8">
        <v>210526</v>
      </c>
      <c r="F64" s="9">
        <f t="shared" si="1"/>
        <v>0.41400803299168493</v>
      </c>
      <c r="G64" s="10">
        <v>148886</v>
      </c>
      <c r="I64" s="9">
        <f t="shared" si="2"/>
        <v>3.4062026902938531</v>
      </c>
    </row>
    <row r="65" spans="2:10">
      <c r="B65" s="7"/>
      <c r="C65" s="7"/>
      <c r="G65" s="11"/>
      <c r="I65" s="9">
        <f t="shared" si="2"/>
        <v>0</v>
      </c>
    </row>
    <row r="66" spans="2:10">
      <c r="B66" s="4" t="s">
        <v>73</v>
      </c>
      <c r="C66" s="7"/>
      <c r="G66" s="11"/>
      <c r="I66" s="9">
        <f t="shared" si="2"/>
        <v>0</v>
      </c>
    </row>
    <row r="67" spans="2:10">
      <c r="B67" s="7" t="s">
        <v>74</v>
      </c>
      <c r="C67" s="21">
        <v>18072</v>
      </c>
      <c r="D67" s="9">
        <f t="shared" si="0"/>
        <v>0.10430797433547205</v>
      </c>
      <c r="E67" s="8">
        <v>16365</v>
      </c>
      <c r="F67" s="9">
        <f t="shared" si="1"/>
        <v>-0.84124135388674925</v>
      </c>
      <c r="G67" s="10">
        <v>103081</v>
      </c>
      <c r="I67" s="9">
        <f t="shared" si="2"/>
        <v>-0.36846668977563862</v>
      </c>
    </row>
    <row r="68" spans="2:10">
      <c r="B68" s="7" t="s">
        <v>75</v>
      </c>
      <c r="C68" s="21">
        <v>-125738</v>
      </c>
      <c r="D68" s="9">
        <f t="shared" si="0"/>
        <v>-0.15804768951594003</v>
      </c>
      <c r="E68" s="8">
        <v>-149341</v>
      </c>
      <c r="F68" s="9">
        <f t="shared" si="1"/>
        <v>3.0318844492440604</v>
      </c>
      <c r="G68" s="10">
        <v>-37040</v>
      </c>
      <c r="I68" s="9">
        <f t="shared" si="2"/>
        <v>1.4369183798640601</v>
      </c>
    </row>
    <row r="69" spans="2:10">
      <c r="B69" s="7" t="s">
        <v>76</v>
      </c>
      <c r="C69" s="7">
        <v>-817</v>
      </c>
      <c r="D69" s="9">
        <f t="shared" ref="D69:D87" si="3">(C69-E69)/E69</f>
        <v>-0.73997453851050288</v>
      </c>
      <c r="E69" s="8">
        <v>-3142</v>
      </c>
      <c r="F69" s="9">
        <f t="shared" ref="F69:F87" si="4">(E69-G69)/G69</f>
        <v>-5.0664977834072198E-3</v>
      </c>
      <c r="G69" s="10">
        <v>-3158</v>
      </c>
      <c r="I69" s="9">
        <f t="shared" ref="I69:I87" si="5">(D69+F69)/2</f>
        <v>-0.37252051814695503</v>
      </c>
    </row>
    <row r="70" spans="2:10">
      <c r="B70" s="7" t="s">
        <v>77</v>
      </c>
      <c r="C70" s="7">
        <v>929</v>
      </c>
      <c r="E70" s="8">
        <v>0</v>
      </c>
      <c r="F70" s="9">
        <f t="shared" si="4"/>
        <v>-1</v>
      </c>
      <c r="G70" s="10">
        <v>4418</v>
      </c>
      <c r="I70" s="9">
        <f t="shared" si="5"/>
        <v>-0.5</v>
      </c>
    </row>
    <row r="71" spans="2:10">
      <c r="B71" s="7" t="s">
        <v>78</v>
      </c>
      <c r="C71" s="21">
        <v>-192756</v>
      </c>
      <c r="E71" s="8">
        <v>0</v>
      </c>
      <c r="G71" s="11">
        <v>0</v>
      </c>
      <c r="I71" s="9">
        <f t="shared" si="5"/>
        <v>0</v>
      </c>
      <c r="J71" t="s">
        <v>30</v>
      </c>
    </row>
    <row r="72" spans="2:10">
      <c r="B72" s="7" t="s">
        <v>79</v>
      </c>
      <c r="C72" s="21">
        <v>15748</v>
      </c>
      <c r="E72" s="8">
        <v>0</v>
      </c>
      <c r="G72" s="11">
        <v>0</v>
      </c>
      <c r="I72" s="9">
        <f t="shared" si="5"/>
        <v>0</v>
      </c>
    </row>
    <row r="73" spans="2:10">
      <c r="B73" s="4" t="s">
        <v>80</v>
      </c>
      <c r="C73" s="21">
        <v>-285491</v>
      </c>
      <c r="D73" s="9">
        <f t="shared" si="3"/>
        <v>1.1117916398523549</v>
      </c>
      <c r="E73" s="8">
        <v>-135189</v>
      </c>
      <c r="F73" s="9">
        <f t="shared" si="4"/>
        <v>-3.0087220100741443</v>
      </c>
      <c r="G73" s="10">
        <v>67301</v>
      </c>
      <c r="I73" s="9">
        <f t="shared" si="5"/>
        <v>-0.94846518511089473</v>
      </c>
    </row>
    <row r="74" spans="2:10">
      <c r="B74" s="7"/>
      <c r="C74" s="7"/>
      <c r="G74" s="11"/>
      <c r="I74" s="9">
        <f t="shared" si="5"/>
        <v>0</v>
      </c>
    </row>
    <row r="75" spans="2:10">
      <c r="B75" s="7" t="s">
        <v>81</v>
      </c>
      <c r="C75" s="7"/>
      <c r="G75" s="11"/>
      <c r="I75" s="9">
        <f t="shared" si="5"/>
        <v>0</v>
      </c>
    </row>
    <row r="76" spans="2:10">
      <c r="B76" s="7" t="s">
        <v>82</v>
      </c>
      <c r="C76" s="21">
        <v>164533</v>
      </c>
      <c r="E76" s="8">
        <v>0</v>
      </c>
      <c r="G76" s="11">
        <v>0</v>
      </c>
      <c r="I76" s="9">
        <f t="shared" si="5"/>
        <v>0</v>
      </c>
      <c r="J76" t="s">
        <v>30</v>
      </c>
    </row>
    <row r="77" spans="2:10">
      <c r="B77" s="7" t="s">
        <v>83</v>
      </c>
      <c r="C77" s="21">
        <v>-772376</v>
      </c>
      <c r="D77" s="9">
        <f t="shared" si="3"/>
        <v>1.7155222726154062</v>
      </c>
      <c r="E77" s="8">
        <v>-284430</v>
      </c>
      <c r="F77" s="9">
        <f t="shared" si="4"/>
        <v>0.25839505189668444</v>
      </c>
      <c r="G77" s="10">
        <v>-226026</v>
      </c>
      <c r="I77" s="9">
        <f t="shared" si="5"/>
        <v>0.98695866225604534</v>
      </c>
    </row>
    <row r="78" spans="2:10">
      <c r="B78" s="7" t="s">
        <v>84</v>
      </c>
      <c r="C78" s="21">
        <v>-13802</v>
      </c>
      <c r="D78" s="9">
        <f t="shared" si="3"/>
        <v>0.39287516399233019</v>
      </c>
      <c r="E78" s="8">
        <v>-9909</v>
      </c>
      <c r="G78" s="11">
        <v>0</v>
      </c>
      <c r="I78" s="9">
        <f t="shared" si="5"/>
        <v>0.19643758199616509</v>
      </c>
    </row>
    <row r="79" spans="2:10">
      <c r="B79" s="7" t="s">
        <v>85</v>
      </c>
      <c r="C79" s="21">
        <v>-11033</v>
      </c>
      <c r="D79" s="9">
        <f t="shared" si="3"/>
        <v>2.0327102803738319</v>
      </c>
      <c r="E79" s="8">
        <v>-3638</v>
      </c>
      <c r="G79" s="11">
        <v>0</v>
      </c>
      <c r="I79" s="9">
        <f t="shared" si="5"/>
        <v>1.016355140186916</v>
      </c>
    </row>
    <row r="80" spans="2:10">
      <c r="B80" s="4" t="s">
        <v>86</v>
      </c>
      <c r="C80" s="21">
        <v>-632678</v>
      </c>
      <c r="D80" s="9">
        <f t="shared" si="3"/>
        <v>1.1232444114814231</v>
      </c>
      <c r="E80" s="8">
        <v>-297977</v>
      </c>
      <c r="F80" s="9">
        <f t="shared" si="4"/>
        <v>0.31833063452877103</v>
      </c>
      <c r="G80" s="10">
        <v>-226026</v>
      </c>
      <c r="I80" s="9">
        <f t="shared" si="5"/>
        <v>0.72078752300509707</v>
      </c>
    </row>
    <row r="81" spans="2:9">
      <c r="B81" s="7"/>
      <c r="C81" s="7"/>
      <c r="G81" s="11"/>
      <c r="I81" s="9">
        <f t="shared" si="5"/>
        <v>0</v>
      </c>
    </row>
    <row r="82" spans="2:9">
      <c r="B82" s="4" t="s">
        <v>87</v>
      </c>
      <c r="C82" s="21">
        <v>639386</v>
      </c>
      <c r="D82" s="9">
        <f t="shared" si="3"/>
        <v>-3.8718379446640316</v>
      </c>
      <c r="E82" s="8">
        <v>-222640</v>
      </c>
      <c r="F82" s="9">
        <f t="shared" si="4"/>
        <v>21.628315885760749</v>
      </c>
      <c r="G82" s="10">
        <v>-9839</v>
      </c>
      <c r="I82" s="9">
        <f t="shared" si="5"/>
        <v>8.8782389705483595</v>
      </c>
    </row>
    <row r="83" spans="2:9">
      <c r="B83" s="7" t="s">
        <v>88</v>
      </c>
      <c r="C83" s="21">
        <v>469953</v>
      </c>
      <c r="D83" s="9">
        <f t="shared" si="3"/>
        <v>-0.37739808510891987</v>
      </c>
      <c r="E83" s="8">
        <v>754821</v>
      </c>
      <c r="F83" s="9">
        <f t="shared" si="4"/>
        <v>5.3004494814641208E-2</v>
      </c>
      <c r="G83" s="10">
        <v>716826</v>
      </c>
      <c r="I83" s="9">
        <f t="shared" si="5"/>
        <v>-0.16219679514713933</v>
      </c>
    </row>
    <row r="84" spans="2:9">
      <c r="B84" s="7" t="s">
        <v>89</v>
      </c>
      <c r="C84" s="21">
        <v>16814</v>
      </c>
      <c r="D84" s="9">
        <f t="shared" si="3"/>
        <v>-1.4117344564977838</v>
      </c>
      <c r="E84" s="8">
        <v>-40837</v>
      </c>
      <c r="F84" s="9">
        <f t="shared" si="4"/>
        <v>-2</v>
      </c>
      <c r="G84" s="10">
        <v>40837</v>
      </c>
      <c r="I84" s="9">
        <f t="shared" si="5"/>
        <v>-1.7058672282488918</v>
      </c>
    </row>
    <row r="85" spans="2:9">
      <c r="B85" s="7" t="s">
        <v>90</v>
      </c>
      <c r="C85" s="21">
        <v>-17066</v>
      </c>
      <c r="D85" s="9">
        <f t="shared" si="3"/>
        <v>1.498751040799334E-2</v>
      </c>
      <c r="E85" s="8">
        <v>-16814</v>
      </c>
      <c r="F85" s="9">
        <f t="shared" si="4"/>
        <v>-0.58826554350221616</v>
      </c>
      <c r="G85" s="10">
        <v>-40837</v>
      </c>
      <c r="I85" s="9">
        <f t="shared" si="5"/>
        <v>-0.28663901654711144</v>
      </c>
    </row>
    <row r="86" spans="2:9">
      <c r="B86" s="7" t="s">
        <v>91</v>
      </c>
      <c r="C86" s="21">
        <v>-10947</v>
      </c>
      <c r="D86" s="9">
        <f t="shared" si="3"/>
        <v>1.3917413152720122</v>
      </c>
      <c r="E86" s="8">
        <v>-4577</v>
      </c>
      <c r="F86" s="9">
        <f t="shared" si="4"/>
        <v>-1.6541374874946406</v>
      </c>
      <c r="G86" s="10">
        <v>6997</v>
      </c>
      <c r="I86" s="9">
        <f t="shared" si="5"/>
        <v>-0.13119808611131423</v>
      </c>
    </row>
    <row r="87" spans="2:9">
      <c r="B87" s="16" t="s">
        <v>92</v>
      </c>
      <c r="C87" s="22">
        <v>1109087</v>
      </c>
      <c r="D87" s="14">
        <f t="shared" si="3"/>
        <v>1.3599955740254877</v>
      </c>
      <c r="E87" s="13">
        <v>469953</v>
      </c>
      <c r="F87" s="14">
        <f t="shared" si="4"/>
        <v>-0.37739808510891987</v>
      </c>
      <c r="G87" s="15">
        <v>754821</v>
      </c>
      <c r="I87" s="9">
        <f t="shared" si="5"/>
        <v>0.49129874445828392</v>
      </c>
    </row>
    <row r="89" spans="2:9">
      <c r="B89" t="s">
        <v>93</v>
      </c>
      <c r="C89">
        <v>167243684</v>
      </c>
      <c r="D89">
        <v>0</v>
      </c>
      <c r="E89">
        <v>167243684</v>
      </c>
      <c r="F89" s="9">
        <v>0</v>
      </c>
      <c r="G89">
        <v>167243684</v>
      </c>
    </row>
  </sheetData>
  <conditionalFormatting sqref="I1 D90:D1048576 I3:I1048576 D1:D88 F1:F1048576">
    <cfRule type="cellIs" dxfId="1" priority="2" operator="greaterThan">
      <formula>0</formula>
    </cfRule>
  </conditionalFormatting>
  <conditionalFormatting sqref="D90:D1048576 I1:I1048576 D1:D88 F1:F1048576">
    <cfRule type="cellIs" dxfId="0" priority="1" operator="less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5D94-02E5-4382-8B85-BE9A7CE53CDF}">
  <dimension ref="A1:E81"/>
  <sheetViews>
    <sheetView tabSelected="1" workbookViewId="0">
      <selection activeCell="F7" sqref="F7"/>
    </sheetView>
  </sheetViews>
  <sheetFormatPr defaultRowHeight="15"/>
  <cols>
    <col min="1" max="1" width="29.85546875" bestFit="1" customWidth="1"/>
    <col min="2" max="2" width="19.5703125" bestFit="1" customWidth="1"/>
    <col min="3" max="4" width="16.85546875" bestFit="1" customWidth="1"/>
    <col min="5" max="5" width="29.42578125" bestFit="1" customWidth="1"/>
  </cols>
  <sheetData>
    <row r="1" spans="1:5">
      <c r="A1" s="2" t="s">
        <v>94</v>
      </c>
      <c r="B1" s="35"/>
      <c r="C1" s="36"/>
      <c r="D1" s="37"/>
    </row>
    <row r="2" spans="1:5">
      <c r="A2" s="2" t="s">
        <v>95</v>
      </c>
      <c r="B2" s="4" t="s">
        <v>96</v>
      </c>
      <c r="C2" s="2" t="s">
        <v>97</v>
      </c>
      <c r="D2" s="6" t="s">
        <v>98</v>
      </c>
      <c r="E2" s="2" t="s">
        <v>99</v>
      </c>
    </row>
    <row r="3" spans="1:5">
      <c r="A3" t="s">
        <v>100</v>
      </c>
      <c r="B3" s="7" t="s">
        <v>101</v>
      </c>
      <c r="C3" s="34" t="s">
        <v>102</v>
      </c>
      <c r="D3" s="38" t="s">
        <v>102</v>
      </c>
      <c r="E3" t="s">
        <v>103</v>
      </c>
    </row>
    <row r="4" spans="1:5">
      <c r="A4" t="s">
        <v>104</v>
      </c>
      <c r="B4" s="7" t="s">
        <v>105</v>
      </c>
      <c r="C4" s="34" t="s">
        <v>102</v>
      </c>
      <c r="D4" s="38" t="s">
        <v>102</v>
      </c>
    </row>
    <row r="5" spans="1:5">
      <c r="A5" t="s">
        <v>106</v>
      </c>
      <c r="B5" s="7" t="s">
        <v>107</v>
      </c>
      <c r="C5" s="34" t="s">
        <v>102</v>
      </c>
      <c r="D5" s="38" t="s">
        <v>102</v>
      </c>
    </row>
    <row r="6" spans="1:5">
      <c r="A6" t="s">
        <v>108</v>
      </c>
      <c r="B6" s="7" t="s">
        <v>109</v>
      </c>
      <c r="C6" s="34" t="s">
        <v>102</v>
      </c>
      <c r="D6" s="38" t="s">
        <v>102</v>
      </c>
      <c r="E6" t="s">
        <v>110</v>
      </c>
    </row>
    <row r="7" spans="1:5">
      <c r="A7" t="s">
        <v>111</v>
      </c>
      <c r="B7" s="7" t="s">
        <v>112</v>
      </c>
      <c r="C7" s="34" t="s">
        <v>102</v>
      </c>
      <c r="D7" s="38" t="s">
        <v>102</v>
      </c>
    </row>
    <row r="8" spans="1:5">
      <c r="A8" t="s">
        <v>113</v>
      </c>
      <c r="B8" s="7" t="s">
        <v>114</v>
      </c>
      <c r="C8" s="34" t="s">
        <v>102</v>
      </c>
      <c r="D8" s="38" t="s">
        <v>102</v>
      </c>
    </row>
    <row r="9" spans="1:5">
      <c r="A9" t="s">
        <v>115</v>
      </c>
      <c r="B9" s="7" t="s">
        <v>116</v>
      </c>
      <c r="C9" s="34" t="s">
        <v>102</v>
      </c>
      <c r="D9" s="38" t="s">
        <v>102</v>
      </c>
    </row>
    <row r="10" spans="1:5">
      <c r="A10" t="s">
        <v>117</v>
      </c>
      <c r="B10" s="7" t="s">
        <v>118</v>
      </c>
      <c r="C10" s="34" t="s">
        <v>102</v>
      </c>
      <c r="D10" s="38" t="s">
        <v>102</v>
      </c>
      <c r="E10" t="s">
        <v>119</v>
      </c>
    </row>
    <row r="11" spans="1:5">
      <c r="A11" t="s">
        <v>120</v>
      </c>
      <c r="B11" s="7" t="s">
        <v>121</v>
      </c>
      <c r="C11" s="34" t="s">
        <v>102</v>
      </c>
      <c r="D11" s="38" t="s">
        <v>102</v>
      </c>
    </row>
    <row r="12" spans="1:5">
      <c r="A12" t="s">
        <v>122</v>
      </c>
      <c r="B12" s="21">
        <v>762641</v>
      </c>
      <c r="C12" s="34" t="s">
        <v>102</v>
      </c>
      <c r="D12" s="38" t="s">
        <v>102</v>
      </c>
      <c r="E12" t="s">
        <v>123</v>
      </c>
    </row>
    <row r="13" spans="1:5">
      <c r="A13" t="s">
        <v>124</v>
      </c>
      <c r="B13" s="7" t="s">
        <v>125</v>
      </c>
      <c r="C13" s="34" t="s">
        <v>102</v>
      </c>
      <c r="D13" s="38" t="s">
        <v>102</v>
      </c>
      <c r="E13" t="s">
        <v>126</v>
      </c>
    </row>
    <row r="14" spans="1:5">
      <c r="B14" s="7"/>
      <c r="C14" s="34"/>
      <c r="D14" s="38"/>
    </row>
    <row r="15" spans="1:5">
      <c r="A15" s="2" t="s">
        <v>127</v>
      </c>
      <c r="B15" s="7"/>
      <c r="D15" s="11"/>
    </row>
    <row r="16" spans="1:5">
      <c r="A16" s="2" t="s">
        <v>95</v>
      </c>
      <c r="B16" s="4" t="s">
        <v>96</v>
      </c>
      <c r="C16" s="2" t="s">
        <v>97</v>
      </c>
      <c r="D16" s="6" t="s">
        <v>98</v>
      </c>
      <c r="E16" s="2" t="s">
        <v>128</v>
      </c>
    </row>
    <row r="17" spans="1:5">
      <c r="A17" t="s">
        <v>129</v>
      </c>
      <c r="B17" s="21">
        <v>7839869</v>
      </c>
      <c r="C17" s="8">
        <v>7657091</v>
      </c>
      <c r="D17" s="10">
        <v>7084226</v>
      </c>
      <c r="E17" t="s">
        <v>130</v>
      </c>
    </row>
    <row r="18" spans="1:5">
      <c r="A18" t="s">
        <v>131</v>
      </c>
      <c r="B18" s="39">
        <v>2.3900000000000001E-2</v>
      </c>
      <c r="C18" s="9">
        <v>8.09E-2</v>
      </c>
      <c r="D18" s="38" t="s">
        <v>102</v>
      </c>
    </row>
    <row r="19" spans="1:5">
      <c r="A19" t="s">
        <v>132</v>
      </c>
      <c r="B19" s="21">
        <v>7391869</v>
      </c>
      <c r="C19" s="34" t="s">
        <v>102</v>
      </c>
      <c r="D19" s="38" t="s">
        <v>102</v>
      </c>
      <c r="E19" s="34" t="s">
        <v>133</v>
      </c>
    </row>
    <row r="20" spans="1:5">
      <c r="A20" t="s">
        <v>134</v>
      </c>
      <c r="B20" s="21">
        <v>852146</v>
      </c>
      <c r="C20" s="8">
        <v>428285</v>
      </c>
      <c r="D20" s="10">
        <v>270247</v>
      </c>
      <c r="E20" t="s">
        <v>135</v>
      </c>
    </row>
    <row r="21" spans="1:5">
      <c r="A21" t="s">
        <v>136</v>
      </c>
      <c r="B21" s="39">
        <v>0.98970000000000002</v>
      </c>
      <c r="C21" s="9">
        <v>0.58479999999999999</v>
      </c>
      <c r="D21" s="38" t="s">
        <v>102</v>
      </c>
    </row>
    <row r="22" spans="1:5">
      <c r="A22" t="s">
        <v>137</v>
      </c>
      <c r="B22" s="39">
        <v>0.1087</v>
      </c>
      <c r="C22" s="9">
        <v>5.6000000000000001E-2</v>
      </c>
      <c r="D22" s="40">
        <v>3.8100000000000002E-2</v>
      </c>
      <c r="E22" t="s">
        <v>138</v>
      </c>
    </row>
    <row r="23" spans="1:5">
      <c r="A23" t="s">
        <v>139</v>
      </c>
      <c r="B23" s="39">
        <v>8.7900000000000006E-2</v>
      </c>
      <c r="C23" s="9">
        <v>4.3499999999999997E-2</v>
      </c>
      <c r="D23" s="40">
        <v>2.9600000000000001E-2</v>
      </c>
      <c r="E23" t="s">
        <v>138</v>
      </c>
    </row>
    <row r="24" spans="1:5">
      <c r="A24" t="s">
        <v>140</v>
      </c>
      <c r="B24" s="39">
        <v>7.9000000000000001E-2</v>
      </c>
      <c r="C24" s="9">
        <v>1.72E-2</v>
      </c>
      <c r="D24" s="40">
        <v>2.2000000000000001E-3</v>
      </c>
      <c r="E24" t="s">
        <v>141</v>
      </c>
    </row>
    <row r="25" spans="1:5">
      <c r="A25" t="s">
        <v>142</v>
      </c>
      <c r="B25" s="39">
        <v>8.0600000000000005E-2</v>
      </c>
      <c r="C25" s="9">
        <v>2.7300000000000001E-2</v>
      </c>
      <c r="D25" s="40">
        <v>3.7000000000000002E-3</v>
      </c>
    </row>
    <row r="26" spans="1:5">
      <c r="A26" t="s">
        <v>143</v>
      </c>
      <c r="B26" s="39">
        <v>0.1132</v>
      </c>
      <c r="C26" s="34" t="s">
        <v>102</v>
      </c>
      <c r="D26" s="38" t="s">
        <v>102</v>
      </c>
      <c r="E26" t="s">
        <v>144</v>
      </c>
    </row>
    <row r="27" spans="1:5">
      <c r="A27" t="s">
        <v>145</v>
      </c>
      <c r="B27" s="7" t="s">
        <v>146</v>
      </c>
      <c r="C27" s="34" t="s">
        <v>102</v>
      </c>
      <c r="D27" s="38" t="s">
        <v>102</v>
      </c>
      <c r="E27" t="s">
        <v>147</v>
      </c>
    </row>
    <row r="28" spans="1:5">
      <c r="B28" s="7"/>
      <c r="C28" s="34"/>
      <c r="D28" s="38"/>
    </row>
    <row r="29" spans="1:5">
      <c r="A29" s="2" t="s">
        <v>148</v>
      </c>
      <c r="B29" s="7"/>
      <c r="D29" s="11"/>
    </row>
    <row r="30" spans="1:5">
      <c r="A30" s="2" t="s">
        <v>95</v>
      </c>
      <c r="B30" s="4" t="s">
        <v>96</v>
      </c>
      <c r="C30" s="2" t="s">
        <v>97</v>
      </c>
      <c r="D30" s="6" t="s">
        <v>98</v>
      </c>
      <c r="E30" s="2" t="s">
        <v>128</v>
      </c>
    </row>
    <row r="31" spans="1:5">
      <c r="A31" t="s">
        <v>149</v>
      </c>
      <c r="B31" s="21">
        <v>667573</v>
      </c>
      <c r="C31" s="8">
        <v>1236483</v>
      </c>
      <c r="D31" s="10">
        <v>1208326</v>
      </c>
      <c r="E31" t="s">
        <v>150</v>
      </c>
    </row>
    <row r="32" spans="1:5">
      <c r="A32" t="s">
        <v>151</v>
      </c>
      <c r="B32" s="21">
        <v>1109087</v>
      </c>
      <c r="C32" s="8">
        <v>469953</v>
      </c>
      <c r="D32" s="10">
        <v>754821</v>
      </c>
      <c r="E32" t="s">
        <v>152</v>
      </c>
    </row>
    <row r="33" spans="1:5">
      <c r="A33" t="s">
        <v>153</v>
      </c>
      <c r="B33" s="43" t="s">
        <v>154</v>
      </c>
      <c r="C33" s="44" t="s">
        <v>155</v>
      </c>
      <c r="D33" s="45" t="s">
        <v>156</v>
      </c>
      <c r="E33" t="s">
        <v>157</v>
      </c>
    </row>
    <row r="34" spans="1:5">
      <c r="A34" t="s">
        <v>158</v>
      </c>
      <c r="B34" s="7" t="s">
        <v>159</v>
      </c>
      <c r="C34" s="34" t="s">
        <v>102</v>
      </c>
      <c r="D34" s="38" t="s">
        <v>102</v>
      </c>
      <c r="E34" t="s">
        <v>160</v>
      </c>
    </row>
    <row r="35" spans="1:5">
      <c r="A35" t="s">
        <v>161</v>
      </c>
      <c r="B35" s="7" t="s">
        <v>162</v>
      </c>
      <c r="C35" t="s">
        <v>163</v>
      </c>
      <c r="D35" s="11" t="s">
        <v>164</v>
      </c>
      <c r="E35" t="s">
        <v>165</v>
      </c>
    </row>
    <row r="36" spans="1:5">
      <c r="A36" t="s">
        <v>166</v>
      </c>
      <c r="B36" s="7" t="s">
        <v>167</v>
      </c>
      <c r="C36" s="34" t="s">
        <v>102</v>
      </c>
      <c r="D36" s="38" t="s">
        <v>102</v>
      </c>
      <c r="E36" s="34" t="s">
        <v>168</v>
      </c>
    </row>
    <row r="37" spans="1:5">
      <c r="A37" t="s">
        <v>169</v>
      </c>
      <c r="B37" s="21">
        <v>-386386</v>
      </c>
      <c r="C37" s="8">
        <v>-1061865</v>
      </c>
      <c r="D37" s="10">
        <v>-1193319</v>
      </c>
      <c r="E37" t="s">
        <v>141</v>
      </c>
    </row>
    <row r="38" spans="1:5">
      <c r="A38" t="s">
        <v>170</v>
      </c>
      <c r="B38" s="7" t="s">
        <v>171</v>
      </c>
      <c r="C38" s="34" t="s">
        <v>102</v>
      </c>
      <c r="D38" s="38" t="s">
        <v>102</v>
      </c>
      <c r="E38" t="s">
        <v>172</v>
      </c>
    </row>
    <row r="39" spans="1:5">
      <c r="B39" s="7"/>
      <c r="C39" s="34"/>
      <c r="D39" s="38"/>
    </row>
    <row r="40" spans="1:5">
      <c r="A40" s="2" t="s">
        <v>173</v>
      </c>
      <c r="B40" s="7"/>
      <c r="D40" s="11"/>
    </row>
    <row r="41" spans="1:5">
      <c r="A41" s="2" t="s">
        <v>95</v>
      </c>
      <c r="B41" s="4" t="s">
        <v>96</v>
      </c>
      <c r="C41" s="2" t="s">
        <v>97</v>
      </c>
      <c r="D41" s="6" t="s">
        <v>98</v>
      </c>
      <c r="E41" s="2" t="s">
        <v>99</v>
      </c>
    </row>
    <row r="42" spans="1:5">
      <c r="A42" t="s">
        <v>174</v>
      </c>
      <c r="B42" s="7" t="s">
        <v>175</v>
      </c>
      <c r="C42" t="s">
        <v>176</v>
      </c>
      <c r="D42" s="11" t="s">
        <v>177</v>
      </c>
      <c r="E42" t="s">
        <v>126</v>
      </c>
    </row>
    <row r="43" spans="1:5">
      <c r="A43" t="s">
        <v>178</v>
      </c>
      <c r="B43" s="7" t="s">
        <v>179</v>
      </c>
      <c r="C43" s="34" t="s">
        <v>102</v>
      </c>
      <c r="D43" s="38" t="s">
        <v>102</v>
      </c>
      <c r="E43" t="s">
        <v>180</v>
      </c>
    </row>
    <row r="44" spans="1:5">
      <c r="A44" t="s">
        <v>181</v>
      </c>
      <c r="B44" s="7" t="s">
        <v>182</v>
      </c>
      <c r="C44" s="34" t="s">
        <v>102</v>
      </c>
      <c r="D44" s="38" t="s">
        <v>102</v>
      </c>
    </row>
    <row r="45" spans="1:5">
      <c r="A45" t="s">
        <v>183</v>
      </c>
      <c r="B45" s="21">
        <v>2283962</v>
      </c>
      <c r="C45" s="8">
        <v>1174711</v>
      </c>
      <c r="D45" s="10">
        <v>1225326</v>
      </c>
      <c r="E45" s="34" t="s">
        <v>184</v>
      </c>
    </row>
    <row r="46" spans="1:5">
      <c r="A46" t="s">
        <v>185</v>
      </c>
      <c r="B46" s="21">
        <v>2650079</v>
      </c>
      <c r="C46" s="8">
        <v>1196711</v>
      </c>
      <c r="D46" s="10">
        <v>1264592</v>
      </c>
      <c r="E46" t="s">
        <v>186</v>
      </c>
    </row>
    <row r="47" spans="1:5">
      <c r="A47" t="s">
        <v>187</v>
      </c>
      <c r="B47" s="7" t="s">
        <v>188</v>
      </c>
      <c r="C47" t="s">
        <v>189</v>
      </c>
      <c r="D47" s="11" t="s">
        <v>190</v>
      </c>
      <c r="E47" t="s">
        <v>191</v>
      </c>
    </row>
    <row r="48" spans="1:5">
      <c r="B48" s="7"/>
      <c r="D48" s="11"/>
    </row>
    <row r="49" spans="1:5">
      <c r="A49" s="2" t="s">
        <v>192</v>
      </c>
      <c r="B49" s="7"/>
      <c r="D49" s="11"/>
    </row>
    <row r="50" spans="1:5">
      <c r="A50" s="2" t="s">
        <v>95</v>
      </c>
      <c r="B50" s="4" t="s">
        <v>96</v>
      </c>
      <c r="C50" s="2" t="s">
        <v>97</v>
      </c>
      <c r="D50" s="6" t="s">
        <v>98</v>
      </c>
      <c r="E50" s="2" t="s">
        <v>128</v>
      </c>
    </row>
    <row r="51" spans="1:5">
      <c r="A51" t="s">
        <v>193</v>
      </c>
      <c r="B51" s="7" t="s">
        <v>194</v>
      </c>
      <c r="C51" t="s">
        <v>195</v>
      </c>
      <c r="D51" s="11" t="s">
        <v>196</v>
      </c>
      <c r="E51" t="s">
        <v>141</v>
      </c>
    </row>
    <row r="52" spans="1:5">
      <c r="A52" t="s">
        <v>197</v>
      </c>
      <c r="B52" s="7" t="s">
        <v>198</v>
      </c>
      <c r="C52" t="s">
        <v>199</v>
      </c>
      <c r="D52" s="11" t="s">
        <v>200</v>
      </c>
      <c r="E52" t="s">
        <v>141</v>
      </c>
    </row>
    <row r="53" spans="1:5">
      <c r="A53" t="s">
        <v>201</v>
      </c>
      <c r="B53" s="7" t="s">
        <v>202</v>
      </c>
      <c r="C53" t="s">
        <v>203</v>
      </c>
      <c r="D53" s="11" t="s">
        <v>204</v>
      </c>
      <c r="E53" t="s">
        <v>205</v>
      </c>
    </row>
    <row r="54" spans="1:5">
      <c r="A54" s="2" t="s">
        <v>206</v>
      </c>
      <c r="B54" s="7"/>
      <c r="D54" s="11"/>
    </row>
    <row r="55" spans="1:5">
      <c r="A55" s="2" t="s">
        <v>95</v>
      </c>
      <c r="B55" s="4" t="s">
        <v>96</v>
      </c>
      <c r="C55" s="2" t="s">
        <v>97</v>
      </c>
      <c r="D55" s="6" t="s">
        <v>98</v>
      </c>
      <c r="E55" s="2" t="s">
        <v>99</v>
      </c>
    </row>
    <row r="56" spans="1:5">
      <c r="A56" t="s">
        <v>207</v>
      </c>
      <c r="B56" s="21">
        <v>15300000</v>
      </c>
      <c r="C56" s="8">
        <v>13400000</v>
      </c>
      <c r="D56" s="10">
        <v>8600000</v>
      </c>
      <c r="E56" s="34" t="s">
        <v>208</v>
      </c>
    </row>
    <row r="57" spans="1:5">
      <c r="A57" t="s">
        <v>209</v>
      </c>
      <c r="B57" s="7" t="s">
        <v>210</v>
      </c>
      <c r="C57" t="s">
        <v>211</v>
      </c>
      <c r="D57" s="11" t="s">
        <v>212</v>
      </c>
      <c r="E57" t="s">
        <v>130</v>
      </c>
    </row>
    <row r="58" spans="1:5">
      <c r="A58" t="s">
        <v>213</v>
      </c>
      <c r="B58" s="7" t="s">
        <v>214</v>
      </c>
      <c r="C58" s="34" t="s">
        <v>102</v>
      </c>
      <c r="D58" s="38" t="s">
        <v>102</v>
      </c>
      <c r="E58" t="s">
        <v>215</v>
      </c>
    </row>
    <row r="59" spans="1:5">
      <c r="B59" s="7"/>
      <c r="C59" s="34"/>
      <c r="D59" s="38"/>
    </row>
    <row r="60" spans="1:5">
      <c r="A60" s="2" t="s">
        <v>216</v>
      </c>
      <c r="B60" s="7"/>
      <c r="D60" s="11"/>
    </row>
    <row r="61" spans="1:5">
      <c r="A61" s="2" t="s">
        <v>95</v>
      </c>
      <c r="B61" s="4" t="s">
        <v>96</v>
      </c>
      <c r="C61" s="2" t="s">
        <v>97</v>
      </c>
      <c r="D61" s="6" t="s">
        <v>98</v>
      </c>
      <c r="E61" s="2" t="s">
        <v>99</v>
      </c>
    </row>
    <row r="62" spans="1:5">
      <c r="A62" t="s">
        <v>217</v>
      </c>
      <c r="B62" s="39">
        <v>2.0329999999999999</v>
      </c>
      <c r="C62" s="34" t="s">
        <v>102</v>
      </c>
      <c r="D62" s="38" t="s">
        <v>102</v>
      </c>
      <c r="E62" t="s">
        <v>218</v>
      </c>
    </row>
    <row r="63" spans="1:5">
      <c r="A63" t="s">
        <v>219</v>
      </c>
      <c r="B63" s="39">
        <v>0.114</v>
      </c>
      <c r="C63" s="9">
        <v>2.5999999999999999E-2</v>
      </c>
      <c r="D63" s="40">
        <v>3.0000000000000001E-3</v>
      </c>
      <c r="E63" t="s">
        <v>141</v>
      </c>
    </row>
    <row r="64" spans="1:5">
      <c r="A64" t="s">
        <v>220</v>
      </c>
      <c r="B64" s="39">
        <v>0.495</v>
      </c>
      <c r="C64" s="34" t="s">
        <v>102</v>
      </c>
      <c r="D64" s="38" t="s">
        <v>102</v>
      </c>
      <c r="E64" t="s">
        <v>221</v>
      </c>
    </row>
    <row r="65" spans="1:5">
      <c r="B65" s="39"/>
      <c r="C65" s="34"/>
      <c r="D65" s="38"/>
    </row>
    <row r="66" spans="1:5">
      <c r="A66" s="2" t="s">
        <v>222</v>
      </c>
      <c r="B66" s="7"/>
      <c r="D66" s="11"/>
    </row>
    <row r="67" spans="1:5">
      <c r="A67" s="2" t="s">
        <v>95</v>
      </c>
      <c r="B67" s="4" t="s">
        <v>96</v>
      </c>
      <c r="C67" s="2" t="s">
        <v>97</v>
      </c>
      <c r="D67" s="6" t="s">
        <v>98</v>
      </c>
      <c r="E67" s="2" t="s">
        <v>128</v>
      </c>
    </row>
    <row r="68" spans="1:5">
      <c r="A68" t="s">
        <v>223</v>
      </c>
      <c r="B68" s="21">
        <v>1557555</v>
      </c>
      <c r="C68" s="8">
        <v>210526</v>
      </c>
      <c r="D68" s="10">
        <v>148886</v>
      </c>
      <c r="E68" t="s">
        <v>205</v>
      </c>
    </row>
    <row r="69" spans="1:5">
      <c r="A69" t="s">
        <v>224</v>
      </c>
      <c r="B69" s="39">
        <v>0.19869999999999999</v>
      </c>
      <c r="C69" s="9">
        <v>2.75E-2</v>
      </c>
      <c r="D69" s="40">
        <v>2.1000000000000001E-2</v>
      </c>
    </row>
    <row r="70" spans="1:5">
      <c r="A70" t="s">
        <v>225</v>
      </c>
      <c r="B70" s="21">
        <v>1431817</v>
      </c>
      <c r="C70" s="8">
        <v>61185</v>
      </c>
      <c r="D70" s="10">
        <v>111846</v>
      </c>
    </row>
    <row r="71" spans="1:5">
      <c r="A71" t="s">
        <v>226</v>
      </c>
      <c r="B71" s="39">
        <v>0.18260000000000001</v>
      </c>
      <c r="C71" s="9">
        <v>8.0000000000000002E-3</v>
      </c>
      <c r="D71" s="40">
        <v>1.5800000000000002E-2</v>
      </c>
    </row>
    <row r="72" spans="1:5">
      <c r="A72" t="s">
        <v>227</v>
      </c>
      <c r="B72" s="39">
        <v>1.8280000000000001</v>
      </c>
      <c r="C72" s="9">
        <v>0.49099999999999999</v>
      </c>
      <c r="D72" s="40">
        <v>0.55100000000000005</v>
      </c>
      <c r="E72" t="s">
        <v>228</v>
      </c>
    </row>
    <row r="73" spans="1:5">
      <c r="A73" t="s">
        <v>229</v>
      </c>
      <c r="B73" s="39">
        <v>2.5139999999999998</v>
      </c>
      <c r="C73" s="9">
        <v>1.6020000000000001</v>
      </c>
      <c r="D73" s="40">
        <v>9.3759999999999994</v>
      </c>
    </row>
    <row r="74" spans="1:5">
      <c r="B74" s="39"/>
      <c r="C74" s="9"/>
      <c r="D74" s="40"/>
    </row>
    <row r="75" spans="1:5">
      <c r="A75" s="2" t="s">
        <v>230</v>
      </c>
      <c r="B75" s="7"/>
      <c r="D75" s="11"/>
    </row>
    <row r="76" spans="1:5">
      <c r="A76" s="2" t="s">
        <v>95</v>
      </c>
      <c r="B76" s="4" t="s">
        <v>96</v>
      </c>
      <c r="C76" s="2" t="s">
        <v>97</v>
      </c>
      <c r="D76" s="6" t="s">
        <v>98</v>
      </c>
      <c r="E76" s="2" t="s">
        <v>99</v>
      </c>
    </row>
    <row r="77" spans="1:5">
      <c r="A77" t="s">
        <v>231</v>
      </c>
      <c r="B77" s="21">
        <v>827329</v>
      </c>
      <c r="C77" s="8">
        <v>928789</v>
      </c>
      <c r="D77" s="10">
        <v>966073</v>
      </c>
      <c r="E77" t="s">
        <v>232</v>
      </c>
    </row>
    <row r="78" spans="1:5">
      <c r="A78" t="s">
        <v>233</v>
      </c>
      <c r="B78" s="39">
        <v>0.106</v>
      </c>
      <c r="C78" s="9">
        <v>0.121</v>
      </c>
      <c r="D78" s="40">
        <v>0.13600000000000001</v>
      </c>
      <c r="E78" t="s">
        <v>234</v>
      </c>
    </row>
    <row r="79" spans="1:5">
      <c r="A79" t="s">
        <v>235</v>
      </c>
      <c r="B79" s="39">
        <v>0.68700000000000006</v>
      </c>
      <c r="C79" s="34" t="s">
        <v>102</v>
      </c>
      <c r="D79" s="38" t="s">
        <v>102</v>
      </c>
      <c r="E79" t="s">
        <v>236</v>
      </c>
    </row>
    <row r="80" spans="1:5">
      <c r="A80" t="s">
        <v>237</v>
      </c>
      <c r="B80" s="21">
        <v>168782</v>
      </c>
      <c r="C80" s="8">
        <v>178924</v>
      </c>
      <c r="D80" s="10">
        <v>173542</v>
      </c>
      <c r="E80" t="s">
        <v>238</v>
      </c>
    </row>
    <row r="81" spans="1:5">
      <c r="A81" t="s">
        <v>239</v>
      </c>
      <c r="B81" s="22">
        <v>625119</v>
      </c>
      <c r="C81" s="41" t="s">
        <v>102</v>
      </c>
      <c r="D81" s="42" t="s">
        <v>102</v>
      </c>
      <c r="E81" t="s">
        <v>240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47660-D447-4259-8A05-A70D039D3B9B}">
  <dimension ref="A1:L49"/>
  <sheetViews>
    <sheetView workbookViewId="0">
      <selection activeCell="A46" sqref="A46:L46"/>
    </sheetView>
  </sheetViews>
  <sheetFormatPr defaultRowHeight="15"/>
  <cols>
    <col min="1" max="1" width="82.5703125" bestFit="1" customWidth="1"/>
    <col min="2" max="4" width="9.5703125" bestFit="1" customWidth="1"/>
    <col min="5" max="6" width="10.28515625" bestFit="1" customWidth="1"/>
    <col min="7" max="8" width="9.5703125" bestFit="1" customWidth="1"/>
    <col min="9" max="9" width="12" bestFit="1" customWidth="1"/>
    <col min="11" max="11" width="46.28515625" customWidth="1"/>
  </cols>
  <sheetData>
    <row r="1" spans="1:11">
      <c r="A1" t="s">
        <v>241</v>
      </c>
    </row>
    <row r="3" spans="1:11" ht="18">
      <c r="A3" s="46" t="s">
        <v>242</v>
      </c>
      <c r="B3" s="47"/>
      <c r="C3" s="47"/>
      <c r="D3" s="47"/>
      <c r="E3" s="47"/>
      <c r="F3" s="47"/>
      <c r="G3" s="47"/>
      <c r="H3" s="47"/>
      <c r="I3" s="47"/>
      <c r="J3" s="47"/>
      <c r="K3" s="47"/>
    </row>
    <row r="4" spans="1:11">
      <c r="A4" s="48" t="s">
        <v>243</v>
      </c>
      <c r="B4" s="47"/>
      <c r="C4" s="47"/>
      <c r="D4" s="47"/>
      <c r="E4" s="47"/>
      <c r="F4" s="47"/>
      <c r="G4" s="47"/>
      <c r="H4" s="47"/>
      <c r="I4" s="47"/>
      <c r="J4" s="47"/>
      <c r="K4" s="47"/>
    </row>
    <row r="5" spans="1:11">
      <c r="A5" s="48" t="s">
        <v>244</v>
      </c>
      <c r="B5" s="47"/>
      <c r="C5" s="47"/>
      <c r="D5" s="47"/>
      <c r="E5" s="47"/>
      <c r="F5" s="47"/>
      <c r="G5" s="47"/>
      <c r="H5" s="47"/>
      <c r="I5" s="47"/>
      <c r="J5" s="47"/>
      <c r="K5" s="47"/>
    </row>
    <row r="6" spans="1:11">
      <c r="A6" s="49" t="s">
        <v>245</v>
      </c>
      <c r="B6" s="47"/>
      <c r="C6" s="47"/>
      <c r="D6" s="47"/>
      <c r="E6" s="47"/>
      <c r="F6" s="47"/>
      <c r="G6" s="47"/>
      <c r="H6" s="47"/>
      <c r="I6" s="47"/>
      <c r="J6" s="47"/>
      <c r="K6" s="47"/>
    </row>
    <row r="7" spans="1:11">
      <c r="A7" s="47"/>
      <c r="B7" s="47"/>
      <c r="C7" s="47"/>
      <c r="D7" s="47"/>
      <c r="E7" s="47"/>
      <c r="F7" s="47"/>
      <c r="G7" s="47"/>
      <c r="H7" s="47"/>
      <c r="I7" s="47"/>
      <c r="J7" s="47"/>
      <c r="K7" s="47"/>
    </row>
    <row r="8" spans="1:11">
      <c r="A8" s="50" t="s">
        <v>246</v>
      </c>
      <c r="B8" s="51"/>
      <c r="C8" s="51"/>
      <c r="D8" s="51"/>
      <c r="E8" s="51"/>
      <c r="F8" s="51"/>
      <c r="G8" s="51"/>
      <c r="H8" s="51"/>
      <c r="I8" s="47"/>
      <c r="J8" s="47"/>
      <c r="K8" s="47"/>
    </row>
    <row r="9" spans="1:11">
      <c r="A9" s="52"/>
      <c r="B9" s="53" t="s">
        <v>247</v>
      </c>
      <c r="C9" s="53" t="s">
        <v>248</v>
      </c>
      <c r="D9" s="53" t="s">
        <v>249</v>
      </c>
      <c r="E9" s="53" t="s">
        <v>250</v>
      </c>
      <c r="F9" s="53" t="s">
        <v>251</v>
      </c>
      <c r="G9" s="53" t="s">
        <v>252</v>
      </c>
      <c r="H9" s="53" t="s">
        <v>253</v>
      </c>
      <c r="I9" s="47"/>
      <c r="J9" s="47"/>
      <c r="K9" s="47"/>
    </row>
    <row r="10" spans="1:11">
      <c r="A10" s="47" t="s">
        <v>254</v>
      </c>
      <c r="B10" s="54">
        <v>0.45</v>
      </c>
      <c r="C10" s="54">
        <v>0.45</v>
      </c>
      <c r="D10" s="54">
        <v>0.45</v>
      </c>
      <c r="E10" s="54">
        <v>0.45</v>
      </c>
      <c r="F10" s="54">
        <v>0.45</v>
      </c>
      <c r="G10" s="54">
        <v>0.45</v>
      </c>
      <c r="H10" s="54">
        <v>0.45</v>
      </c>
      <c r="I10" s="55">
        <v>3.15</v>
      </c>
      <c r="J10" s="47"/>
      <c r="K10" s="48" t="s">
        <v>255</v>
      </c>
    </row>
    <row r="11" spans="1:11">
      <c r="A11" s="47" t="s">
        <v>256</v>
      </c>
      <c r="B11" s="57">
        <v>4000000</v>
      </c>
      <c r="C11" s="57">
        <v>4500000</v>
      </c>
      <c r="D11" s="57">
        <v>5000000</v>
      </c>
      <c r="E11" s="57">
        <v>5000000</v>
      </c>
      <c r="F11" s="57">
        <v>5000000</v>
      </c>
      <c r="G11" s="57">
        <v>5000000</v>
      </c>
      <c r="H11" s="57">
        <v>5000000</v>
      </c>
      <c r="I11" s="58">
        <v>33500000</v>
      </c>
      <c r="J11" s="47"/>
      <c r="K11" s="47"/>
    </row>
    <row r="12" spans="1:11">
      <c r="A12" s="47" t="s">
        <v>257</v>
      </c>
      <c r="B12" s="59">
        <v>0.05</v>
      </c>
      <c r="C12" s="59">
        <v>5.1999999999999998E-2</v>
      </c>
      <c r="D12" s="59">
        <v>5.5E-2</v>
      </c>
      <c r="E12" s="59">
        <v>5.5E-2</v>
      </c>
      <c r="F12" s="59">
        <v>5.5E-2</v>
      </c>
      <c r="G12" s="59">
        <v>0.05</v>
      </c>
      <c r="H12" s="59">
        <v>0.05</v>
      </c>
      <c r="I12" s="47"/>
      <c r="J12" s="47"/>
      <c r="K12" s="48" t="s">
        <v>258</v>
      </c>
    </row>
    <row r="13" spans="1:11">
      <c r="A13" s="47" t="s">
        <v>259</v>
      </c>
      <c r="B13" s="57">
        <v>95000</v>
      </c>
      <c r="C13" s="57">
        <v>100000</v>
      </c>
      <c r="D13" s="57">
        <v>105000</v>
      </c>
      <c r="E13" s="57">
        <v>110000</v>
      </c>
      <c r="F13" s="57">
        <v>110000</v>
      </c>
      <c r="G13" s="57">
        <v>110000</v>
      </c>
      <c r="H13" s="57">
        <v>110000</v>
      </c>
      <c r="I13" s="47"/>
      <c r="J13" s="47"/>
      <c r="K13" s="47"/>
    </row>
    <row r="14" spans="1:11">
      <c r="A14" s="47" t="s">
        <v>260</v>
      </c>
      <c r="B14" s="57">
        <v>80000</v>
      </c>
      <c r="C14" s="57">
        <v>85000</v>
      </c>
      <c r="D14" s="57">
        <v>90000</v>
      </c>
      <c r="E14" s="57">
        <v>95000</v>
      </c>
      <c r="F14" s="57">
        <v>95000</v>
      </c>
      <c r="G14" s="57">
        <v>95000</v>
      </c>
      <c r="H14" s="57">
        <v>95000</v>
      </c>
      <c r="I14" s="47"/>
      <c r="J14" s="47"/>
      <c r="K14" s="48" t="s">
        <v>261</v>
      </c>
    </row>
    <row r="15" spans="1:11">
      <c r="A15" s="47" t="s">
        <v>262</v>
      </c>
      <c r="B15" s="57">
        <v>-150000</v>
      </c>
      <c r="C15" s="57">
        <v>-100000</v>
      </c>
      <c r="D15" s="57">
        <v>-50000</v>
      </c>
      <c r="E15" s="56">
        <v>0</v>
      </c>
      <c r="F15" s="57">
        <v>20000</v>
      </c>
      <c r="G15" s="57">
        <v>30000</v>
      </c>
      <c r="H15" s="57">
        <v>30000</v>
      </c>
      <c r="I15" s="47"/>
      <c r="J15" s="47"/>
      <c r="K15" s="47"/>
    </row>
    <row r="16" spans="1:11">
      <c r="A16" s="47" t="s">
        <v>263</v>
      </c>
      <c r="B16" s="54">
        <v>0</v>
      </c>
      <c r="C16" s="60">
        <v>0</v>
      </c>
      <c r="D16" s="61">
        <v>0</v>
      </c>
      <c r="E16" s="61">
        <v>0</v>
      </c>
      <c r="F16" s="61">
        <v>0</v>
      </c>
      <c r="G16" s="61">
        <v>0.27</v>
      </c>
      <c r="H16" s="61">
        <v>0.27</v>
      </c>
      <c r="I16" s="47"/>
      <c r="J16" s="47"/>
      <c r="K16" s="47"/>
    </row>
    <row r="17" spans="1:11">
      <c r="A17" s="47" t="s">
        <v>264</v>
      </c>
      <c r="B17" s="57">
        <v>25000</v>
      </c>
      <c r="C17" s="57">
        <v>20000</v>
      </c>
      <c r="D17" s="57">
        <v>15000</v>
      </c>
      <c r="E17" s="57">
        <v>12000</v>
      </c>
      <c r="F17" s="57">
        <v>10000</v>
      </c>
      <c r="G17" s="57">
        <v>10000</v>
      </c>
      <c r="H17" s="57">
        <v>10000</v>
      </c>
      <c r="I17" s="47"/>
      <c r="J17" s="47"/>
      <c r="K17" s="47"/>
    </row>
    <row r="18" spans="1:11">
      <c r="A18" s="47"/>
      <c r="B18" s="47"/>
      <c r="C18" s="47"/>
      <c r="D18" s="47"/>
      <c r="E18" s="47"/>
      <c r="F18" s="47"/>
      <c r="G18" s="47"/>
      <c r="H18" s="47"/>
      <c r="I18" s="47"/>
      <c r="J18" s="47"/>
      <c r="K18" s="47"/>
    </row>
    <row r="19" spans="1:11">
      <c r="A19" s="50" t="s">
        <v>265</v>
      </c>
      <c r="B19" s="51"/>
      <c r="C19" s="51"/>
      <c r="D19" s="51"/>
      <c r="E19" s="51"/>
      <c r="F19" s="51"/>
      <c r="G19" s="51"/>
      <c r="H19" s="51"/>
      <c r="I19" s="47"/>
      <c r="J19" s="47"/>
      <c r="K19" s="47"/>
    </row>
    <row r="20" spans="1:11">
      <c r="A20" s="52"/>
      <c r="B20" s="53" t="s">
        <v>247</v>
      </c>
      <c r="C20" s="53" t="s">
        <v>248</v>
      </c>
      <c r="D20" s="53" t="s">
        <v>249</v>
      </c>
      <c r="E20" s="53" t="s">
        <v>250</v>
      </c>
      <c r="F20" s="53" t="s">
        <v>251</v>
      </c>
      <c r="G20" s="53" t="s">
        <v>252</v>
      </c>
      <c r="H20" s="53" t="s">
        <v>253</v>
      </c>
      <c r="I20" s="47"/>
      <c r="J20" s="47"/>
      <c r="K20" s="47"/>
    </row>
    <row r="21" spans="1:11">
      <c r="A21" s="47" t="s">
        <v>266</v>
      </c>
      <c r="B21" s="62">
        <v>15300000</v>
      </c>
      <c r="C21" s="62">
        <v>12415000</v>
      </c>
      <c r="D21" s="62">
        <v>11328250</v>
      </c>
      <c r="E21" s="62">
        <v>11230538</v>
      </c>
      <c r="F21" s="62">
        <v>11176796</v>
      </c>
      <c r="G21" s="62">
        <v>11147238</v>
      </c>
      <c r="H21" s="62">
        <v>11130981</v>
      </c>
      <c r="I21" s="47"/>
      <c r="J21" s="47"/>
      <c r="K21" s="48" t="s">
        <v>267</v>
      </c>
    </row>
    <row r="22" spans="1:11">
      <c r="A22" s="47" t="s">
        <v>268</v>
      </c>
      <c r="B22" s="62">
        <v>-6885000</v>
      </c>
      <c r="C22" s="62">
        <v>-5586750</v>
      </c>
      <c r="D22" s="62">
        <v>-5097713</v>
      </c>
      <c r="E22" s="62">
        <v>-5053742</v>
      </c>
      <c r="F22" s="62">
        <v>-5029558</v>
      </c>
      <c r="G22" s="62">
        <v>-5016257</v>
      </c>
      <c r="H22" s="62">
        <v>-5008941</v>
      </c>
      <c r="I22" s="47"/>
      <c r="J22" s="47"/>
      <c r="K22" s="47"/>
    </row>
    <row r="23" spans="1:11">
      <c r="A23" s="47" t="s">
        <v>269</v>
      </c>
      <c r="B23" s="62">
        <v>4000000</v>
      </c>
      <c r="C23" s="62">
        <v>4500000</v>
      </c>
      <c r="D23" s="62">
        <v>5000000</v>
      </c>
      <c r="E23" s="62">
        <v>5000000</v>
      </c>
      <c r="F23" s="62">
        <v>5000000</v>
      </c>
      <c r="G23" s="62">
        <v>5000000</v>
      </c>
      <c r="H23" s="62">
        <v>5000000</v>
      </c>
      <c r="I23" s="47"/>
      <c r="J23" s="47"/>
      <c r="K23" s="47"/>
    </row>
    <row r="24" spans="1:11">
      <c r="A24" s="63" t="s">
        <v>270</v>
      </c>
      <c r="B24" s="64">
        <v>12415000</v>
      </c>
      <c r="C24" s="64">
        <v>11328250</v>
      </c>
      <c r="D24" s="64">
        <v>11230538</v>
      </c>
      <c r="E24" s="64">
        <v>11176796</v>
      </c>
      <c r="F24" s="64">
        <v>11147238</v>
      </c>
      <c r="G24" s="64">
        <v>11130981</v>
      </c>
      <c r="H24" s="64">
        <v>11122039</v>
      </c>
      <c r="I24" s="47"/>
      <c r="J24" s="47"/>
      <c r="K24" s="47"/>
    </row>
    <row r="25" spans="1:11">
      <c r="A25" s="47"/>
      <c r="B25" s="47"/>
      <c r="C25" s="47"/>
      <c r="D25" s="47"/>
      <c r="E25" s="47"/>
      <c r="F25" s="47"/>
      <c r="G25" s="47"/>
      <c r="H25" s="47"/>
      <c r="I25" s="47"/>
      <c r="J25" s="47"/>
      <c r="K25" s="47"/>
    </row>
    <row r="26" spans="1:11">
      <c r="A26" s="50" t="s">
        <v>271</v>
      </c>
      <c r="B26" s="51"/>
      <c r="C26" s="51"/>
      <c r="D26" s="51"/>
      <c r="E26" s="51"/>
      <c r="F26" s="51"/>
      <c r="G26" s="51"/>
      <c r="H26" s="51"/>
      <c r="I26" s="47"/>
      <c r="J26" s="47"/>
      <c r="K26" s="47"/>
    </row>
    <row r="27" spans="1:11">
      <c r="A27" s="52"/>
      <c r="B27" s="53" t="s">
        <v>247</v>
      </c>
      <c r="C27" s="53" t="s">
        <v>248</v>
      </c>
      <c r="D27" s="53" t="s">
        <v>249</v>
      </c>
      <c r="E27" s="53" t="s">
        <v>250</v>
      </c>
      <c r="F27" s="53" t="s">
        <v>251</v>
      </c>
      <c r="G27" s="53" t="s">
        <v>252</v>
      </c>
      <c r="H27" s="53" t="s">
        <v>253</v>
      </c>
      <c r="I27" s="47"/>
      <c r="J27" s="47"/>
      <c r="K27" s="47"/>
    </row>
    <row r="28" spans="1:11">
      <c r="A28" s="47" t="s">
        <v>272</v>
      </c>
      <c r="B28" s="62">
        <v>6885000</v>
      </c>
      <c r="C28" s="62">
        <v>5586750</v>
      </c>
      <c r="D28" s="62">
        <v>5097713</v>
      </c>
      <c r="E28" s="62">
        <v>5053742</v>
      </c>
      <c r="F28" s="62">
        <v>5029558</v>
      </c>
      <c r="G28" s="62">
        <v>5016257</v>
      </c>
      <c r="H28" s="62">
        <v>5008941</v>
      </c>
      <c r="I28" s="47"/>
      <c r="J28" s="47"/>
      <c r="K28" s="47"/>
    </row>
    <row r="29" spans="1:11">
      <c r="A29" s="63" t="s">
        <v>273</v>
      </c>
      <c r="B29" s="64">
        <v>344250</v>
      </c>
      <c r="C29" s="64">
        <v>290511</v>
      </c>
      <c r="D29" s="64">
        <v>280374</v>
      </c>
      <c r="E29" s="64">
        <v>277956</v>
      </c>
      <c r="F29" s="64">
        <v>276626</v>
      </c>
      <c r="G29" s="64">
        <v>250813</v>
      </c>
      <c r="H29" s="64">
        <v>250447</v>
      </c>
      <c r="I29" s="47"/>
      <c r="J29" s="47"/>
      <c r="K29" s="47"/>
    </row>
    <row r="30" spans="1:11">
      <c r="A30" s="47" t="s">
        <v>274</v>
      </c>
      <c r="B30" s="62">
        <v>344250</v>
      </c>
      <c r="C30" s="62">
        <v>290511</v>
      </c>
      <c r="D30" s="62">
        <v>280374</v>
      </c>
      <c r="E30" s="62">
        <v>277956</v>
      </c>
      <c r="F30" s="62">
        <v>276626</v>
      </c>
      <c r="G30" s="62">
        <v>183093</v>
      </c>
      <c r="H30" s="62">
        <v>182826</v>
      </c>
      <c r="I30" s="47"/>
      <c r="J30" s="47"/>
      <c r="K30" s="47"/>
    </row>
    <row r="31" spans="1:11">
      <c r="A31" s="47" t="s">
        <v>275</v>
      </c>
      <c r="B31" s="62">
        <v>95000</v>
      </c>
      <c r="C31" s="62">
        <v>100000</v>
      </c>
      <c r="D31" s="62">
        <v>105000</v>
      </c>
      <c r="E31" s="62">
        <v>110000</v>
      </c>
      <c r="F31" s="62">
        <v>110000</v>
      </c>
      <c r="G31" s="62">
        <v>110000</v>
      </c>
      <c r="H31" s="62">
        <v>110000</v>
      </c>
      <c r="I31" s="47"/>
      <c r="J31" s="47"/>
      <c r="K31" s="47"/>
    </row>
    <row r="32" spans="1:11">
      <c r="A32" s="47" t="s">
        <v>276</v>
      </c>
      <c r="B32" s="62">
        <v>-80000</v>
      </c>
      <c r="C32" s="62">
        <v>-85000</v>
      </c>
      <c r="D32" s="62">
        <v>-90000</v>
      </c>
      <c r="E32" s="62">
        <v>-95000</v>
      </c>
      <c r="F32" s="62">
        <v>-95000</v>
      </c>
      <c r="G32" s="62">
        <v>-95000</v>
      </c>
      <c r="H32" s="62">
        <v>-95000</v>
      </c>
      <c r="I32" s="47"/>
      <c r="J32" s="47"/>
      <c r="K32" s="47"/>
    </row>
    <row r="33" spans="1:12">
      <c r="A33" s="47" t="s">
        <v>277</v>
      </c>
      <c r="B33" s="62">
        <v>-150000</v>
      </c>
      <c r="C33" s="62">
        <v>-100000</v>
      </c>
      <c r="D33" s="62">
        <v>-50000</v>
      </c>
      <c r="E33" s="48">
        <v>0</v>
      </c>
      <c r="F33" s="62">
        <v>20000</v>
      </c>
      <c r="G33" s="62">
        <v>30000</v>
      </c>
      <c r="H33" s="62">
        <v>30000</v>
      </c>
      <c r="I33" s="47"/>
      <c r="J33" s="47"/>
      <c r="K33" s="47"/>
    </row>
    <row r="34" spans="1:12">
      <c r="A34" s="63" t="s">
        <v>278</v>
      </c>
      <c r="B34" s="64">
        <v>209250</v>
      </c>
      <c r="C34" s="64">
        <v>205511</v>
      </c>
      <c r="D34" s="64">
        <v>245374</v>
      </c>
      <c r="E34" s="64">
        <v>292956</v>
      </c>
      <c r="F34" s="64">
        <v>311626</v>
      </c>
      <c r="G34" s="64">
        <v>228093</v>
      </c>
      <c r="H34" s="64">
        <v>227826</v>
      </c>
      <c r="I34" s="47"/>
      <c r="J34" s="47"/>
      <c r="K34" s="47"/>
    </row>
    <row r="35" spans="1:12">
      <c r="A35" s="65" t="s">
        <v>279</v>
      </c>
      <c r="B35" s="62">
        <v>209250</v>
      </c>
      <c r="C35" s="62">
        <v>414761</v>
      </c>
      <c r="D35" s="62">
        <v>660135</v>
      </c>
      <c r="E35" s="62">
        <v>953091</v>
      </c>
      <c r="F35" s="62">
        <v>1264717</v>
      </c>
      <c r="G35" s="62">
        <v>1492810</v>
      </c>
      <c r="H35" s="62">
        <v>1720636</v>
      </c>
      <c r="I35" s="47"/>
      <c r="J35" s="47"/>
      <c r="K35" s="47"/>
    </row>
    <row r="36" spans="1:12">
      <c r="A36" s="47"/>
      <c r="B36" s="47"/>
      <c r="C36" s="47"/>
      <c r="D36" s="47"/>
      <c r="E36" s="47"/>
      <c r="F36" s="47"/>
      <c r="G36" s="47"/>
      <c r="H36" s="47"/>
      <c r="I36" s="47"/>
      <c r="J36" s="47"/>
      <c r="K36" s="47"/>
    </row>
    <row r="37" spans="1:12">
      <c r="A37" s="47" t="s">
        <v>280</v>
      </c>
      <c r="B37" s="62">
        <v>439250</v>
      </c>
      <c r="C37" s="62">
        <v>390511</v>
      </c>
      <c r="D37" s="62">
        <v>385374</v>
      </c>
      <c r="E37" s="62">
        <v>387956</v>
      </c>
      <c r="F37" s="62">
        <v>386626</v>
      </c>
      <c r="G37" s="62">
        <v>360813</v>
      </c>
      <c r="H37" s="62">
        <v>360447</v>
      </c>
      <c r="I37" s="47"/>
      <c r="J37" s="47"/>
      <c r="K37" s="47"/>
    </row>
    <row r="38" spans="1:12">
      <c r="A38" s="47" t="s">
        <v>281</v>
      </c>
      <c r="B38" s="55">
        <v>6.4000000000000001E-2</v>
      </c>
      <c r="C38" s="55">
        <v>7.0000000000000007E-2</v>
      </c>
      <c r="D38" s="55">
        <v>7.5999999999999998E-2</v>
      </c>
      <c r="E38" s="55">
        <v>7.6999999999999999E-2</v>
      </c>
      <c r="F38" s="55">
        <v>7.6999999999999999E-2</v>
      </c>
      <c r="G38" s="55">
        <v>7.1999999999999995E-2</v>
      </c>
      <c r="H38" s="55">
        <v>7.1999999999999995E-2</v>
      </c>
      <c r="I38" s="47"/>
      <c r="J38" s="47"/>
      <c r="K38" s="47"/>
    </row>
    <row r="39" spans="1:12">
      <c r="A39" s="66" t="s">
        <v>282</v>
      </c>
      <c r="B39" s="66" t="s">
        <v>283</v>
      </c>
      <c r="C39" s="66" t="s">
        <v>284</v>
      </c>
      <c r="D39" s="66" t="s">
        <v>284</v>
      </c>
      <c r="E39" s="66" t="s">
        <v>285</v>
      </c>
      <c r="F39" s="66" t="s">
        <v>285</v>
      </c>
      <c r="G39" s="66" t="s">
        <v>286</v>
      </c>
      <c r="H39" s="66" t="s">
        <v>286</v>
      </c>
      <c r="I39" s="47"/>
      <c r="J39" s="47"/>
      <c r="K39" s="47"/>
    </row>
    <row r="40" spans="1:12">
      <c r="A40" s="47"/>
      <c r="B40" s="47"/>
      <c r="C40" s="47"/>
      <c r="D40" s="47"/>
      <c r="E40" s="47"/>
      <c r="F40" s="47"/>
      <c r="G40" s="47"/>
      <c r="H40" s="47"/>
      <c r="I40" s="47"/>
      <c r="J40" s="47"/>
      <c r="K40" s="47"/>
    </row>
    <row r="41" spans="1:12">
      <c r="A41" s="73" t="s">
        <v>287</v>
      </c>
      <c r="B41" s="73"/>
      <c r="C41" s="73"/>
      <c r="D41" s="73"/>
      <c r="E41" s="73"/>
      <c r="F41" s="73"/>
      <c r="G41" s="73"/>
      <c r="H41" s="73"/>
      <c r="I41" s="73"/>
      <c r="J41" s="73"/>
      <c r="K41" s="73"/>
      <c r="L41" s="73"/>
    </row>
    <row r="42" spans="1:12">
      <c r="A42" s="74" t="s">
        <v>288</v>
      </c>
      <c r="B42" s="74"/>
      <c r="C42" s="74"/>
      <c r="D42" s="74"/>
      <c r="E42" s="74"/>
      <c r="F42" s="74"/>
      <c r="G42" s="74"/>
      <c r="H42" s="74"/>
      <c r="I42" s="74"/>
      <c r="J42" s="74"/>
      <c r="K42" s="74"/>
      <c r="L42" s="74"/>
    </row>
    <row r="43" spans="1:12">
      <c r="A43" s="74" t="s">
        <v>289</v>
      </c>
      <c r="B43" s="74"/>
      <c r="C43" s="74"/>
      <c r="D43" s="74"/>
      <c r="E43" s="74"/>
      <c r="F43" s="74"/>
      <c r="G43" s="74"/>
      <c r="H43" s="74"/>
      <c r="I43" s="74"/>
      <c r="J43" s="74"/>
      <c r="K43" s="74"/>
      <c r="L43" s="74"/>
    </row>
    <row r="44" spans="1:12">
      <c r="A44" s="74" t="s">
        <v>290</v>
      </c>
      <c r="B44" s="74"/>
      <c r="C44" s="74"/>
      <c r="D44" s="74"/>
      <c r="E44" s="74"/>
      <c r="F44" s="74"/>
      <c r="G44" s="74"/>
      <c r="H44" s="74"/>
      <c r="I44" s="74"/>
      <c r="J44" s="74"/>
      <c r="K44" s="74"/>
      <c r="L44" s="74"/>
    </row>
    <row r="45" spans="1:12">
      <c r="A45" s="74" t="s">
        <v>291</v>
      </c>
      <c r="B45" s="74"/>
      <c r="C45" s="74"/>
      <c r="D45" s="74"/>
      <c r="E45" s="74"/>
      <c r="F45" s="74"/>
      <c r="G45" s="74"/>
      <c r="H45" s="74"/>
      <c r="I45" s="74"/>
      <c r="J45" s="74"/>
      <c r="K45" s="74"/>
      <c r="L45" s="74"/>
    </row>
    <row r="46" spans="1:12">
      <c r="A46" s="74" t="s">
        <v>292</v>
      </c>
      <c r="B46" s="74"/>
      <c r="C46" s="74"/>
      <c r="D46" s="74"/>
      <c r="E46" s="74"/>
      <c r="F46" s="74"/>
      <c r="G46" s="74"/>
      <c r="H46" s="74"/>
      <c r="I46" s="74"/>
      <c r="J46" s="74"/>
      <c r="K46" s="74"/>
      <c r="L46" s="74"/>
    </row>
    <row r="47" spans="1:12">
      <c r="A47" s="74" t="s">
        <v>293</v>
      </c>
      <c r="B47" s="74"/>
      <c r="C47" s="74"/>
      <c r="D47" s="74"/>
      <c r="E47" s="74"/>
      <c r="F47" s="74"/>
      <c r="G47" s="74"/>
      <c r="H47" s="74"/>
      <c r="I47" s="74"/>
      <c r="J47" s="74"/>
      <c r="K47" s="74"/>
      <c r="L47" s="74"/>
    </row>
    <row r="48" spans="1:12">
      <c r="A48" s="74" t="s">
        <v>294</v>
      </c>
      <c r="B48" s="74"/>
      <c r="C48" s="74"/>
      <c r="D48" s="74"/>
      <c r="E48" s="74"/>
      <c r="F48" s="74"/>
      <c r="G48" s="74"/>
      <c r="H48" s="74"/>
      <c r="I48" s="74"/>
      <c r="J48" s="74"/>
      <c r="K48" s="74"/>
      <c r="L48" s="74"/>
    </row>
    <row r="49" spans="1:12">
      <c r="A49" s="75" t="s">
        <v>295</v>
      </c>
      <c r="B49" s="75"/>
      <c r="C49" s="75"/>
      <c r="D49" s="75"/>
      <c r="E49" s="75"/>
      <c r="F49" s="75"/>
      <c r="G49" s="75"/>
      <c r="H49" s="75"/>
      <c r="I49" s="75"/>
      <c r="J49" s="75"/>
      <c r="K49" s="75"/>
      <c r="L49" s="75"/>
    </row>
  </sheetData>
  <mergeCells count="9">
    <mergeCell ref="A47:L47"/>
    <mergeCell ref="A48:L48"/>
    <mergeCell ref="A49:L49"/>
    <mergeCell ref="A41:L41"/>
    <mergeCell ref="A42:L42"/>
    <mergeCell ref="A43:L43"/>
    <mergeCell ref="A44:L44"/>
    <mergeCell ref="A45:L45"/>
    <mergeCell ref="A46:L4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C53A6-FBE1-4302-8724-ED16B3F3DC48}">
  <dimension ref="A1:L49"/>
  <sheetViews>
    <sheetView workbookViewId="0">
      <selection activeCell="B34" sqref="B34"/>
    </sheetView>
  </sheetViews>
  <sheetFormatPr defaultRowHeight="15"/>
  <cols>
    <col min="1" max="1" width="82.5703125" bestFit="1" customWidth="1"/>
    <col min="2" max="4" width="9.5703125" bestFit="1" customWidth="1"/>
    <col min="5" max="6" width="10.28515625" bestFit="1" customWidth="1"/>
    <col min="7" max="8" width="9.5703125" bestFit="1" customWidth="1"/>
    <col min="9" max="9" width="12" bestFit="1" customWidth="1"/>
    <col min="11" max="11" width="46.28515625" customWidth="1"/>
  </cols>
  <sheetData>
    <row r="1" spans="1:11">
      <c r="A1" t="s">
        <v>241</v>
      </c>
    </row>
    <row r="3" spans="1:11" ht="18">
      <c r="A3" s="46" t="s">
        <v>242</v>
      </c>
      <c r="B3" s="47"/>
      <c r="C3" s="47"/>
      <c r="D3" s="47"/>
      <c r="E3" s="47"/>
      <c r="F3" s="47"/>
      <c r="G3" s="47"/>
      <c r="H3" s="47"/>
      <c r="I3" s="47"/>
      <c r="J3" s="47"/>
      <c r="K3" s="47"/>
    </row>
    <row r="4" spans="1:11">
      <c r="A4" s="48" t="s">
        <v>243</v>
      </c>
      <c r="B4" s="47"/>
      <c r="C4" s="47"/>
      <c r="D4" s="47"/>
      <c r="E4" s="47"/>
      <c r="F4" s="47"/>
      <c r="G4" s="47"/>
      <c r="H4" s="47"/>
      <c r="I4" s="47"/>
      <c r="J4" s="47"/>
      <c r="K4" s="47"/>
    </row>
    <row r="5" spans="1:11">
      <c r="A5" s="48" t="s">
        <v>244</v>
      </c>
      <c r="B5" s="47"/>
      <c r="C5" s="47"/>
      <c r="D5" s="47"/>
      <c r="E5" s="47"/>
      <c r="F5" s="47"/>
      <c r="G5" s="47"/>
      <c r="H5" s="47"/>
      <c r="I5" s="47"/>
      <c r="J5" s="47"/>
      <c r="K5" s="47"/>
    </row>
    <row r="6" spans="1:11">
      <c r="A6" s="49" t="s">
        <v>245</v>
      </c>
      <c r="B6" s="47"/>
      <c r="C6" s="47"/>
      <c r="D6" s="47"/>
      <c r="E6" s="47"/>
      <c r="F6" s="47"/>
      <c r="G6" s="47"/>
      <c r="H6" s="47"/>
      <c r="I6" s="47"/>
      <c r="J6" s="47"/>
      <c r="K6" s="47"/>
    </row>
    <row r="7" spans="1:11">
      <c r="A7" s="47"/>
      <c r="B7" s="47"/>
      <c r="C7" s="47"/>
      <c r="D7" s="47"/>
      <c r="E7" s="47"/>
      <c r="F7" s="47"/>
      <c r="G7" s="47"/>
      <c r="H7" s="47"/>
      <c r="I7" s="47"/>
      <c r="J7" s="47"/>
      <c r="K7" s="47"/>
    </row>
    <row r="8" spans="1:11">
      <c r="A8" s="50" t="s">
        <v>246</v>
      </c>
      <c r="B8" s="51"/>
      <c r="C8" s="51"/>
      <c r="D8" s="51"/>
      <c r="E8" s="51"/>
      <c r="F8" s="51"/>
      <c r="G8" s="51"/>
      <c r="H8" s="51"/>
      <c r="I8" s="47"/>
      <c r="J8" s="47"/>
      <c r="K8" s="47"/>
    </row>
    <row r="9" spans="1:11">
      <c r="A9" s="52"/>
      <c r="B9" s="53" t="s">
        <v>247</v>
      </c>
      <c r="C9" s="53" t="s">
        <v>248</v>
      </c>
      <c r="D9" s="53" t="s">
        <v>249</v>
      </c>
      <c r="E9" s="53" t="s">
        <v>250</v>
      </c>
      <c r="F9" s="53" t="s">
        <v>251</v>
      </c>
      <c r="G9" s="53" t="s">
        <v>252</v>
      </c>
      <c r="H9" s="53" t="s">
        <v>253</v>
      </c>
      <c r="I9" s="47"/>
      <c r="J9" s="47"/>
      <c r="K9" s="47"/>
    </row>
    <row r="10" spans="1:11">
      <c r="A10" s="47" t="s">
        <v>254</v>
      </c>
      <c r="B10" s="54">
        <v>0.45</v>
      </c>
      <c r="C10" s="54">
        <v>0.45</v>
      </c>
      <c r="D10" s="54">
        <v>0.45</v>
      </c>
      <c r="E10" s="54">
        <v>0.45</v>
      </c>
      <c r="F10" s="54">
        <v>0.45</v>
      </c>
      <c r="G10" s="54">
        <v>0.45</v>
      </c>
      <c r="H10" s="54">
        <v>0.45</v>
      </c>
      <c r="I10" s="55">
        <v>3.15</v>
      </c>
      <c r="J10" s="47"/>
      <c r="K10" s="48" t="s">
        <v>255</v>
      </c>
    </row>
    <row r="11" spans="1:11">
      <c r="A11" s="47" t="s">
        <v>256</v>
      </c>
      <c r="B11" s="57">
        <v>4000000</v>
      </c>
      <c r="C11" s="57">
        <v>4500000</v>
      </c>
      <c r="D11" s="57">
        <v>5000000</v>
      </c>
      <c r="E11" s="57">
        <v>5000000</v>
      </c>
      <c r="F11" s="57">
        <v>5000000</v>
      </c>
      <c r="G11" s="57">
        <v>5000000</v>
      </c>
      <c r="H11" s="57">
        <v>5000000</v>
      </c>
      <c r="I11" s="58">
        <v>33500000</v>
      </c>
      <c r="J11" s="47"/>
      <c r="K11" s="47"/>
    </row>
    <row r="12" spans="1:11">
      <c r="A12" s="47" t="s">
        <v>257</v>
      </c>
      <c r="B12" s="59">
        <v>0.05</v>
      </c>
      <c r="C12" s="59">
        <v>5.1999999999999998E-2</v>
      </c>
      <c r="D12" s="59">
        <v>5.5E-2</v>
      </c>
      <c r="E12" s="59">
        <v>5.5E-2</v>
      </c>
      <c r="F12" s="59">
        <v>5.5E-2</v>
      </c>
      <c r="G12" s="59">
        <v>0.05</v>
      </c>
      <c r="H12" s="59">
        <v>0.05</v>
      </c>
      <c r="I12" s="47"/>
      <c r="J12" s="47"/>
      <c r="K12" s="48" t="s">
        <v>258</v>
      </c>
    </row>
    <row r="13" spans="1:11">
      <c r="A13" s="47" t="s">
        <v>259</v>
      </c>
      <c r="B13" s="57">
        <v>95000</v>
      </c>
      <c r="C13" s="57">
        <v>100000</v>
      </c>
      <c r="D13" s="57">
        <v>105000</v>
      </c>
      <c r="E13" s="57">
        <v>110000</v>
      </c>
      <c r="F13" s="57">
        <v>110000</v>
      </c>
      <c r="G13" s="57">
        <v>110000</v>
      </c>
      <c r="H13" s="57">
        <v>110000</v>
      </c>
      <c r="I13" s="47"/>
      <c r="J13" s="47"/>
      <c r="K13" s="47"/>
    </row>
    <row r="14" spans="1:11">
      <c r="A14" s="47" t="s">
        <v>260</v>
      </c>
      <c r="B14" s="57">
        <v>80000</v>
      </c>
      <c r="C14" s="57">
        <v>85000</v>
      </c>
      <c r="D14" s="57">
        <v>90000</v>
      </c>
      <c r="E14" s="57">
        <v>95000</v>
      </c>
      <c r="F14" s="57">
        <v>95000</v>
      </c>
      <c r="G14" s="57">
        <v>95000</v>
      </c>
      <c r="H14" s="57">
        <v>95000</v>
      </c>
      <c r="I14" s="47"/>
      <c r="J14" s="47"/>
      <c r="K14" s="48" t="s">
        <v>261</v>
      </c>
    </row>
    <row r="15" spans="1:11">
      <c r="A15" s="47" t="s">
        <v>262</v>
      </c>
      <c r="B15" s="57">
        <v>-150000</v>
      </c>
      <c r="C15" s="57">
        <v>-100000</v>
      </c>
      <c r="D15" s="57">
        <v>-50000</v>
      </c>
      <c r="E15" s="56">
        <v>0</v>
      </c>
      <c r="F15" s="57">
        <v>20000</v>
      </c>
      <c r="G15" s="57">
        <v>30000</v>
      </c>
      <c r="H15" s="57">
        <v>30000</v>
      </c>
      <c r="I15" s="47"/>
      <c r="J15" s="47"/>
      <c r="K15" s="47"/>
    </row>
    <row r="16" spans="1:11">
      <c r="A16" s="47" t="s">
        <v>263</v>
      </c>
      <c r="B16" s="54">
        <v>0</v>
      </c>
      <c r="C16" s="60">
        <v>0</v>
      </c>
      <c r="D16" s="61">
        <v>0</v>
      </c>
      <c r="E16" s="61">
        <v>0</v>
      </c>
      <c r="F16" s="61">
        <v>0</v>
      </c>
      <c r="G16" s="61">
        <v>0.27</v>
      </c>
      <c r="H16" s="61">
        <v>0.27</v>
      </c>
      <c r="I16" s="47"/>
      <c r="J16" s="47"/>
      <c r="K16" s="47"/>
    </row>
    <row r="17" spans="1:11">
      <c r="A17" s="47" t="s">
        <v>264</v>
      </c>
      <c r="B17" s="57">
        <v>25000</v>
      </c>
      <c r="C17" s="57">
        <v>20000</v>
      </c>
      <c r="D17" s="57">
        <v>15000</v>
      </c>
      <c r="E17" s="57">
        <v>12000</v>
      </c>
      <c r="F17" s="57">
        <v>10000</v>
      </c>
      <c r="G17" s="57">
        <v>10000</v>
      </c>
      <c r="H17" s="57">
        <v>10000</v>
      </c>
      <c r="I17" s="47"/>
      <c r="J17" s="47"/>
      <c r="K17" s="47"/>
    </row>
    <row r="18" spans="1:11">
      <c r="A18" s="47"/>
      <c r="B18" s="47"/>
      <c r="C18" s="47"/>
      <c r="D18" s="47"/>
      <c r="E18" s="47"/>
      <c r="F18" s="47"/>
      <c r="G18" s="47"/>
      <c r="H18" s="47"/>
      <c r="I18" s="47"/>
      <c r="J18" s="47"/>
      <c r="K18" s="47"/>
    </row>
    <row r="19" spans="1:11">
      <c r="A19" s="50" t="s">
        <v>265</v>
      </c>
      <c r="B19" s="51"/>
      <c r="C19" s="51"/>
      <c r="D19" s="51"/>
      <c r="E19" s="51"/>
      <c r="F19" s="51"/>
      <c r="G19" s="51"/>
      <c r="H19" s="51"/>
      <c r="I19" s="47"/>
      <c r="J19" s="47"/>
      <c r="K19" s="47"/>
    </row>
    <row r="20" spans="1:11">
      <c r="A20" s="52"/>
      <c r="B20" s="53" t="s">
        <v>247</v>
      </c>
      <c r="C20" s="53" t="s">
        <v>248</v>
      </c>
      <c r="D20" s="53" t="s">
        <v>249</v>
      </c>
      <c r="E20" s="53" t="s">
        <v>250</v>
      </c>
      <c r="F20" s="53" t="s">
        <v>251</v>
      </c>
      <c r="G20" s="53" t="s">
        <v>252</v>
      </c>
      <c r="H20" s="53" t="s">
        <v>253</v>
      </c>
      <c r="I20" s="47"/>
      <c r="J20" s="47"/>
      <c r="K20" s="47"/>
    </row>
    <row r="21" spans="1:11">
      <c r="A21" s="47" t="s">
        <v>266</v>
      </c>
      <c r="B21" s="62">
        <v>15300000</v>
      </c>
      <c r="C21" s="62">
        <v>12415000</v>
      </c>
      <c r="D21" s="62">
        <v>11328250</v>
      </c>
      <c r="E21" s="62">
        <v>11230538</v>
      </c>
      <c r="F21" s="62">
        <v>11176796</v>
      </c>
      <c r="G21" s="62">
        <v>11147238</v>
      </c>
      <c r="H21" s="62">
        <v>11130981</v>
      </c>
      <c r="I21" s="47"/>
      <c r="J21" s="47"/>
      <c r="K21" s="48" t="s">
        <v>267</v>
      </c>
    </row>
    <row r="22" spans="1:11">
      <c r="A22" s="47" t="s">
        <v>268</v>
      </c>
      <c r="B22" s="62">
        <v>-6885000</v>
      </c>
      <c r="C22" s="62">
        <v>-5586750</v>
      </c>
      <c r="D22" s="62">
        <v>-5097713</v>
      </c>
      <c r="E22" s="62">
        <v>-5053742</v>
      </c>
      <c r="F22" s="62">
        <v>-5029558</v>
      </c>
      <c r="G22" s="62">
        <v>-5016257</v>
      </c>
      <c r="H22" s="62">
        <v>-5008941</v>
      </c>
      <c r="I22" s="47"/>
      <c r="J22" s="47"/>
      <c r="K22" s="47"/>
    </row>
    <row r="23" spans="1:11">
      <c r="A23" s="47" t="s">
        <v>269</v>
      </c>
      <c r="B23" s="62">
        <v>4000000</v>
      </c>
      <c r="C23" s="62">
        <v>4500000</v>
      </c>
      <c r="D23" s="62">
        <v>5000000</v>
      </c>
      <c r="E23" s="62">
        <v>5000000</v>
      </c>
      <c r="F23" s="62">
        <v>5000000</v>
      </c>
      <c r="G23" s="62">
        <v>5000000</v>
      </c>
      <c r="H23" s="62">
        <v>5000000</v>
      </c>
      <c r="I23" s="47"/>
      <c r="J23" s="47"/>
      <c r="K23" s="47"/>
    </row>
    <row r="24" spans="1:11">
      <c r="A24" s="63" t="s">
        <v>270</v>
      </c>
      <c r="B24" s="64">
        <v>12415000</v>
      </c>
      <c r="C24" s="64">
        <v>11328250</v>
      </c>
      <c r="D24" s="64">
        <v>11230538</v>
      </c>
      <c r="E24" s="64">
        <v>11176796</v>
      </c>
      <c r="F24" s="64">
        <v>11147238</v>
      </c>
      <c r="G24" s="64">
        <v>11130981</v>
      </c>
      <c r="H24" s="64">
        <v>11122039</v>
      </c>
      <c r="I24" s="47"/>
      <c r="J24" s="47"/>
      <c r="K24" s="47"/>
    </row>
    <row r="25" spans="1:11">
      <c r="A25" s="47"/>
      <c r="B25" s="47"/>
      <c r="C25" s="47"/>
      <c r="D25" s="47"/>
      <c r="E25" s="47"/>
      <c r="F25" s="47"/>
      <c r="G25" s="47"/>
      <c r="H25" s="47"/>
      <c r="I25" s="47"/>
      <c r="J25" s="47"/>
      <c r="K25" s="47"/>
    </row>
    <row r="26" spans="1:11">
      <c r="A26" s="50" t="s">
        <v>271</v>
      </c>
      <c r="B26" s="51"/>
      <c r="C26" s="51"/>
      <c r="D26" s="51"/>
      <c r="E26" s="51"/>
      <c r="F26" s="51"/>
      <c r="G26" s="51"/>
      <c r="H26" s="51"/>
      <c r="I26" s="47"/>
      <c r="J26" s="47"/>
      <c r="K26" s="47"/>
    </row>
    <row r="27" spans="1:11">
      <c r="A27" s="52"/>
      <c r="B27" s="53" t="s">
        <v>247</v>
      </c>
      <c r="C27" s="53" t="s">
        <v>248</v>
      </c>
      <c r="D27" s="53" t="s">
        <v>249</v>
      </c>
      <c r="E27" s="53" t="s">
        <v>250</v>
      </c>
      <c r="F27" s="53" t="s">
        <v>251</v>
      </c>
      <c r="G27" s="53" t="s">
        <v>252</v>
      </c>
      <c r="H27" s="53" t="s">
        <v>253</v>
      </c>
      <c r="I27" s="47"/>
      <c r="J27" s="47"/>
      <c r="K27" s="47"/>
    </row>
    <row r="28" spans="1:11">
      <c r="A28" s="47" t="s">
        <v>272</v>
      </c>
      <c r="B28" s="62">
        <v>6885000</v>
      </c>
      <c r="C28" s="62">
        <v>5586750</v>
      </c>
      <c r="D28" s="62">
        <v>5097713</v>
      </c>
      <c r="E28" s="62">
        <v>5053742</v>
      </c>
      <c r="F28" s="62">
        <v>5029558</v>
      </c>
      <c r="G28" s="62">
        <v>5016257</v>
      </c>
      <c r="H28" s="62">
        <v>5008941</v>
      </c>
      <c r="I28" s="47"/>
      <c r="J28" s="47"/>
      <c r="K28" s="47"/>
    </row>
    <row r="29" spans="1:11">
      <c r="A29" s="63" t="s">
        <v>273</v>
      </c>
      <c r="B29" s="64">
        <v>344250</v>
      </c>
      <c r="C29" s="64">
        <v>290511</v>
      </c>
      <c r="D29" s="64">
        <v>280374</v>
      </c>
      <c r="E29" s="64">
        <v>277956</v>
      </c>
      <c r="F29" s="64">
        <v>276626</v>
      </c>
      <c r="G29" s="64">
        <v>250813</v>
      </c>
      <c r="H29" s="64">
        <v>250447</v>
      </c>
      <c r="I29" s="47"/>
      <c r="J29" s="47"/>
      <c r="K29" s="47"/>
    </row>
    <row r="30" spans="1:11">
      <c r="A30" s="47" t="s">
        <v>274</v>
      </c>
      <c r="B30" s="62">
        <v>344250</v>
      </c>
      <c r="C30" s="62">
        <v>290511</v>
      </c>
      <c r="D30" s="62">
        <v>280374</v>
      </c>
      <c r="E30" s="62">
        <v>277956</v>
      </c>
      <c r="F30" s="62">
        <v>276626</v>
      </c>
      <c r="G30" s="62">
        <v>183093</v>
      </c>
      <c r="H30" s="62">
        <v>182826</v>
      </c>
      <c r="I30" s="47"/>
      <c r="J30" s="47"/>
      <c r="K30" s="47"/>
    </row>
    <row r="31" spans="1:11">
      <c r="A31" s="47" t="s">
        <v>275</v>
      </c>
      <c r="B31" s="62">
        <v>95000</v>
      </c>
      <c r="C31" s="62">
        <v>100000</v>
      </c>
      <c r="D31" s="62">
        <v>105000</v>
      </c>
      <c r="E31" s="62">
        <v>110000</v>
      </c>
      <c r="F31" s="62">
        <v>110000</v>
      </c>
      <c r="G31" s="62">
        <v>110000</v>
      </c>
      <c r="H31" s="62">
        <v>110000</v>
      </c>
      <c r="I31" s="47"/>
      <c r="J31" s="47"/>
      <c r="K31" s="47"/>
    </row>
    <row r="32" spans="1:11">
      <c r="A32" s="47" t="s">
        <v>276</v>
      </c>
      <c r="B32" s="62">
        <v>-80000</v>
      </c>
      <c r="C32" s="62">
        <v>-85000</v>
      </c>
      <c r="D32" s="62">
        <v>-90000</v>
      </c>
      <c r="E32" s="62">
        <v>-95000</v>
      </c>
      <c r="F32" s="62">
        <v>-95000</v>
      </c>
      <c r="G32" s="62">
        <v>-95000</v>
      </c>
      <c r="H32" s="62">
        <v>-95000</v>
      </c>
      <c r="I32" s="47"/>
      <c r="J32" s="47"/>
      <c r="K32" s="47"/>
    </row>
    <row r="33" spans="1:12">
      <c r="A33" s="47" t="s">
        <v>277</v>
      </c>
      <c r="B33" s="62">
        <v>-150000</v>
      </c>
      <c r="C33" s="62">
        <v>-100000</v>
      </c>
      <c r="D33" s="62">
        <v>-50000</v>
      </c>
      <c r="E33" s="48">
        <v>0</v>
      </c>
      <c r="F33" s="62">
        <v>20000</v>
      </c>
      <c r="G33" s="62">
        <v>30000</v>
      </c>
      <c r="H33" s="62">
        <v>30000</v>
      </c>
      <c r="I33" s="47"/>
      <c r="J33" s="47"/>
      <c r="K33" s="47"/>
    </row>
    <row r="34" spans="1:12">
      <c r="A34" s="63" t="s">
        <v>278</v>
      </c>
      <c r="B34" s="64">
        <v>209250</v>
      </c>
      <c r="C34" s="64">
        <v>205511</v>
      </c>
      <c r="D34" s="64">
        <v>245374</v>
      </c>
      <c r="E34" s="64">
        <v>292956</v>
      </c>
      <c r="F34" s="64">
        <v>311626</v>
      </c>
      <c r="G34" s="64">
        <v>228093</v>
      </c>
      <c r="H34" s="64">
        <v>227826</v>
      </c>
      <c r="I34" s="47"/>
      <c r="J34" s="47"/>
      <c r="K34" s="47"/>
    </row>
    <row r="35" spans="1:12">
      <c r="A35" s="65" t="s">
        <v>279</v>
      </c>
      <c r="B35" s="62">
        <v>209250</v>
      </c>
      <c r="C35" s="62">
        <v>414761</v>
      </c>
      <c r="D35" s="62">
        <v>660135</v>
      </c>
      <c r="E35" s="62">
        <v>953091</v>
      </c>
      <c r="F35" s="62">
        <v>1264717</v>
      </c>
      <c r="G35" s="62">
        <v>1492810</v>
      </c>
      <c r="H35" s="62">
        <v>1720636</v>
      </c>
      <c r="I35" s="47"/>
      <c r="J35" s="47"/>
      <c r="K35" s="47"/>
    </row>
    <row r="36" spans="1:12">
      <c r="A36" s="47"/>
      <c r="B36" s="47"/>
      <c r="C36" s="47"/>
      <c r="D36" s="47"/>
      <c r="E36" s="47"/>
      <c r="F36" s="47"/>
      <c r="G36" s="47"/>
      <c r="H36" s="47"/>
      <c r="I36" s="47"/>
      <c r="J36" s="47"/>
      <c r="K36" s="47"/>
    </row>
    <row r="37" spans="1:12">
      <c r="A37" s="47" t="s">
        <v>280</v>
      </c>
      <c r="B37" s="62">
        <v>439250</v>
      </c>
      <c r="C37" s="62">
        <v>390511</v>
      </c>
      <c r="D37" s="62">
        <v>385374</v>
      </c>
      <c r="E37" s="62">
        <v>387956</v>
      </c>
      <c r="F37" s="62">
        <v>386626</v>
      </c>
      <c r="G37" s="62">
        <v>360813</v>
      </c>
      <c r="H37" s="62">
        <v>360447</v>
      </c>
      <c r="I37" s="47"/>
      <c r="J37" s="47"/>
      <c r="K37" s="47"/>
    </row>
    <row r="38" spans="1:12">
      <c r="A38" s="47" t="s">
        <v>281</v>
      </c>
      <c r="B38" s="55">
        <v>6.4000000000000001E-2</v>
      </c>
      <c r="C38" s="55">
        <v>7.0000000000000007E-2</v>
      </c>
      <c r="D38" s="55">
        <v>7.5999999999999998E-2</v>
      </c>
      <c r="E38" s="55">
        <v>7.6999999999999999E-2</v>
      </c>
      <c r="F38" s="55">
        <v>7.6999999999999999E-2</v>
      </c>
      <c r="G38" s="55">
        <v>7.1999999999999995E-2</v>
      </c>
      <c r="H38" s="55">
        <v>7.1999999999999995E-2</v>
      </c>
      <c r="I38" s="47"/>
      <c r="J38" s="47"/>
      <c r="K38" s="47"/>
    </row>
    <row r="39" spans="1:12">
      <c r="A39" s="66" t="s">
        <v>282</v>
      </c>
      <c r="B39" s="66" t="s">
        <v>283</v>
      </c>
      <c r="C39" s="66" t="s">
        <v>284</v>
      </c>
      <c r="D39" s="66" t="s">
        <v>284</v>
      </c>
      <c r="E39" s="66" t="s">
        <v>285</v>
      </c>
      <c r="F39" s="66" t="s">
        <v>285</v>
      </c>
      <c r="G39" s="66" t="s">
        <v>286</v>
      </c>
      <c r="H39" s="66" t="s">
        <v>286</v>
      </c>
      <c r="I39" s="47"/>
      <c r="J39" s="47"/>
      <c r="K39" s="47"/>
    </row>
    <row r="40" spans="1:12">
      <c r="A40" s="47"/>
      <c r="B40" s="47"/>
      <c r="C40" s="47"/>
      <c r="D40" s="47"/>
      <c r="E40" s="47"/>
      <c r="F40" s="47"/>
      <c r="G40" s="47"/>
      <c r="H40" s="47"/>
      <c r="I40" s="47"/>
      <c r="J40" s="47"/>
      <c r="K40" s="47"/>
    </row>
    <row r="41" spans="1:12">
      <c r="A41" s="73" t="s">
        <v>287</v>
      </c>
      <c r="B41" s="73"/>
      <c r="C41" s="73"/>
      <c r="D41" s="73"/>
      <c r="E41" s="73"/>
      <c r="F41" s="73"/>
      <c r="G41" s="73"/>
      <c r="H41" s="73"/>
      <c r="I41" s="73"/>
      <c r="J41" s="73"/>
      <c r="K41" s="73"/>
      <c r="L41" s="73"/>
    </row>
    <row r="42" spans="1:12">
      <c r="A42" s="74" t="s">
        <v>288</v>
      </c>
      <c r="B42" s="74"/>
      <c r="C42" s="74"/>
      <c r="D42" s="74"/>
      <c r="E42" s="74"/>
      <c r="F42" s="74"/>
      <c r="G42" s="74"/>
      <c r="H42" s="74"/>
      <c r="I42" s="74"/>
      <c r="J42" s="74"/>
      <c r="K42" s="74"/>
      <c r="L42" s="74"/>
    </row>
    <row r="43" spans="1:12">
      <c r="A43" s="74" t="s">
        <v>296</v>
      </c>
      <c r="B43" s="74"/>
      <c r="C43" s="74"/>
      <c r="D43" s="74"/>
      <c r="E43" s="74"/>
      <c r="F43" s="74"/>
      <c r="G43" s="74"/>
      <c r="H43" s="74"/>
      <c r="I43" s="74"/>
      <c r="J43" s="74"/>
      <c r="K43" s="74"/>
      <c r="L43" s="74"/>
    </row>
    <row r="44" spans="1:12">
      <c r="A44" s="74" t="s">
        <v>290</v>
      </c>
      <c r="B44" s="74"/>
      <c r="C44" s="74"/>
      <c r="D44" s="74"/>
      <c r="E44" s="74"/>
      <c r="F44" s="74"/>
      <c r="G44" s="74"/>
      <c r="H44" s="74"/>
      <c r="I44" s="74"/>
      <c r="J44" s="74"/>
      <c r="K44" s="74"/>
      <c r="L44" s="74"/>
    </row>
    <row r="45" spans="1:12">
      <c r="A45" s="74" t="s">
        <v>291</v>
      </c>
      <c r="B45" s="74"/>
      <c r="C45" s="74"/>
      <c r="D45" s="74"/>
      <c r="E45" s="74"/>
      <c r="F45" s="74"/>
      <c r="G45" s="74"/>
      <c r="H45" s="74"/>
      <c r="I45" s="74"/>
      <c r="J45" s="74"/>
      <c r="K45" s="74"/>
      <c r="L45" s="74"/>
    </row>
    <row r="46" spans="1:12">
      <c r="A46" s="74" t="s">
        <v>292</v>
      </c>
      <c r="B46" s="74"/>
      <c r="C46" s="74"/>
      <c r="D46" s="74"/>
      <c r="E46" s="74"/>
      <c r="F46" s="74"/>
      <c r="G46" s="74"/>
      <c r="H46" s="74"/>
      <c r="I46" s="74"/>
      <c r="J46" s="74"/>
      <c r="K46" s="74"/>
      <c r="L46" s="74"/>
    </row>
    <row r="47" spans="1:12">
      <c r="A47" s="74" t="s">
        <v>293</v>
      </c>
      <c r="B47" s="74"/>
      <c r="C47" s="74"/>
      <c r="D47" s="74"/>
      <c r="E47" s="74"/>
      <c r="F47" s="74"/>
      <c r="G47" s="74"/>
      <c r="H47" s="74"/>
      <c r="I47" s="74"/>
      <c r="J47" s="74"/>
      <c r="K47" s="74"/>
      <c r="L47" s="74"/>
    </row>
    <row r="48" spans="1:12">
      <c r="A48" s="74" t="s">
        <v>294</v>
      </c>
      <c r="B48" s="74"/>
      <c r="C48" s="74"/>
      <c r="D48" s="74"/>
      <c r="E48" s="74"/>
      <c r="F48" s="74"/>
      <c r="G48" s="74"/>
      <c r="H48" s="74"/>
      <c r="I48" s="74"/>
      <c r="J48" s="74"/>
      <c r="K48" s="74"/>
      <c r="L48" s="74"/>
    </row>
    <row r="49" spans="1:12">
      <c r="A49" s="75" t="s">
        <v>295</v>
      </c>
      <c r="B49" s="75"/>
      <c r="C49" s="75"/>
      <c r="D49" s="75"/>
      <c r="E49" s="75"/>
      <c r="F49" s="75"/>
      <c r="G49" s="75"/>
      <c r="H49" s="75"/>
      <c r="I49" s="75"/>
      <c r="J49" s="75"/>
      <c r="K49" s="75"/>
      <c r="L49" s="75"/>
    </row>
  </sheetData>
  <mergeCells count="9">
    <mergeCell ref="A47:L47"/>
    <mergeCell ref="A48:L48"/>
    <mergeCell ref="A49:L49"/>
    <mergeCell ref="A41:L41"/>
    <mergeCell ref="A42:L42"/>
    <mergeCell ref="A43:L43"/>
    <mergeCell ref="A44:L44"/>
    <mergeCell ref="A45:L45"/>
    <mergeCell ref="A46:L4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64112-FF10-47BD-A01B-8D9861D7C08A}">
  <dimension ref="A1:M34"/>
  <sheetViews>
    <sheetView workbookViewId="0">
      <selection activeCell="L20" sqref="L20"/>
    </sheetView>
  </sheetViews>
  <sheetFormatPr defaultRowHeight="15"/>
  <cols>
    <col min="1" max="1" width="74.42578125" bestFit="1" customWidth="1"/>
    <col min="2" max="6" width="10.85546875" bestFit="1" customWidth="1"/>
    <col min="7" max="11" width="9.85546875" bestFit="1" customWidth="1"/>
  </cols>
  <sheetData>
    <row r="1" spans="1:13">
      <c r="A1" t="s">
        <v>297</v>
      </c>
    </row>
    <row r="3" spans="1:13" ht="18">
      <c r="A3" s="46" t="s">
        <v>298</v>
      </c>
      <c r="B3" s="47"/>
      <c r="C3" s="47"/>
      <c r="D3" s="47"/>
      <c r="E3" s="47"/>
      <c r="F3" s="47"/>
      <c r="G3" s="47"/>
      <c r="H3" s="47"/>
      <c r="I3" s="47"/>
      <c r="J3" s="47"/>
      <c r="K3" s="47"/>
    </row>
    <row r="4" spans="1:13">
      <c r="A4" s="66" t="s">
        <v>299</v>
      </c>
      <c r="B4" s="47"/>
      <c r="C4" s="47"/>
      <c r="D4" s="47"/>
      <c r="E4" s="47"/>
      <c r="F4" s="47"/>
      <c r="G4" s="47"/>
      <c r="H4" s="47"/>
      <c r="I4" s="47"/>
      <c r="J4" s="47"/>
      <c r="K4" s="47"/>
    </row>
    <row r="5" spans="1:13">
      <c r="A5" s="66" t="s">
        <v>300</v>
      </c>
      <c r="B5" s="47"/>
      <c r="C5" s="47"/>
      <c r="D5" s="47"/>
      <c r="E5" s="47"/>
      <c r="F5" s="47"/>
      <c r="G5" s="47"/>
      <c r="H5" s="47"/>
      <c r="I5" s="47"/>
      <c r="J5" s="47"/>
      <c r="K5" s="47"/>
    </row>
    <row r="6" spans="1:13">
      <c r="A6" s="49" t="s">
        <v>245</v>
      </c>
      <c r="B6" s="47"/>
      <c r="C6" s="47"/>
      <c r="D6" s="47"/>
      <c r="E6" s="47"/>
      <c r="F6" s="47"/>
      <c r="G6" s="47"/>
      <c r="H6" s="47"/>
      <c r="I6" s="47"/>
      <c r="J6" s="47"/>
      <c r="K6" s="47"/>
    </row>
    <row r="7" spans="1:13">
      <c r="A7" s="47"/>
      <c r="B7" s="47"/>
      <c r="C7" s="47"/>
      <c r="D7" s="47"/>
      <c r="E7" s="47"/>
      <c r="F7" s="47"/>
      <c r="G7" s="47"/>
      <c r="H7" s="47"/>
      <c r="I7" s="47"/>
      <c r="J7" s="47"/>
      <c r="K7" s="47"/>
    </row>
    <row r="8" spans="1:13">
      <c r="A8" s="50" t="s">
        <v>301</v>
      </c>
      <c r="B8" s="51"/>
      <c r="C8" s="51"/>
      <c r="D8" s="51"/>
      <c r="E8" s="51"/>
      <c r="F8" s="51"/>
      <c r="G8" s="51"/>
      <c r="H8" s="51"/>
      <c r="I8" s="51"/>
      <c r="J8" s="51"/>
      <c r="K8" s="51"/>
    </row>
    <row r="9" spans="1:13">
      <c r="A9" s="52"/>
      <c r="B9" s="53" t="s">
        <v>247</v>
      </c>
      <c r="C9" s="53" t="s">
        <v>248</v>
      </c>
      <c r="D9" s="53" t="s">
        <v>249</v>
      </c>
      <c r="E9" s="53" t="s">
        <v>250</v>
      </c>
      <c r="F9" s="53" t="s">
        <v>251</v>
      </c>
      <c r="G9" s="53" t="s">
        <v>252</v>
      </c>
      <c r="H9" s="53" t="s">
        <v>253</v>
      </c>
      <c r="I9" s="53" t="s">
        <v>302</v>
      </c>
      <c r="J9" s="53" t="s">
        <v>303</v>
      </c>
      <c r="K9" s="53" t="s">
        <v>304</v>
      </c>
    </row>
    <row r="10" spans="1:13">
      <c r="A10" s="47" t="s">
        <v>305</v>
      </c>
      <c r="B10" s="57">
        <v>1500000</v>
      </c>
      <c r="C10" s="57">
        <v>2000000</v>
      </c>
      <c r="D10" s="57">
        <v>2500000</v>
      </c>
      <c r="E10" s="57">
        <v>3000000</v>
      </c>
      <c r="F10" s="57">
        <v>3500000</v>
      </c>
      <c r="G10" s="57">
        <v>3500000</v>
      </c>
      <c r="H10" s="57">
        <v>3500000</v>
      </c>
      <c r="I10" s="57">
        <v>3000000</v>
      </c>
      <c r="J10" s="57">
        <v>2500000</v>
      </c>
      <c r="K10" s="57">
        <v>2000000</v>
      </c>
    </row>
    <row r="11" spans="1:13">
      <c r="A11" s="47" t="s">
        <v>306</v>
      </c>
      <c r="B11" s="59">
        <v>3.5000000000000003E-2</v>
      </c>
      <c r="C11" s="59">
        <v>0.04</v>
      </c>
      <c r="D11" s="59">
        <v>4.2000000000000003E-2</v>
      </c>
      <c r="E11" s="59">
        <v>4.4999999999999998E-2</v>
      </c>
      <c r="F11" s="59">
        <v>4.4999999999999998E-2</v>
      </c>
      <c r="G11" s="59">
        <v>4.4999999999999998E-2</v>
      </c>
      <c r="H11" s="59">
        <v>4.4999999999999998E-2</v>
      </c>
      <c r="I11" s="59">
        <v>4.2000000000000003E-2</v>
      </c>
      <c r="J11" s="59">
        <v>0.04</v>
      </c>
      <c r="K11" s="59">
        <v>3.7999999999999999E-2</v>
      </c>
    </row>
    <row r="12" spans="1:13">
      <c r="A12" s="47" t="s">
        <v>307</v>
      </c>
      <c r="B12" s="57">
        <v>50000</v>
      </c>
      <c r="C12" s="57">
        <v>60000</v>
      </c>
      <c r="D12" s="57">
        <v>70000</v>
      </c>
      <c r="E12" s="57">
        <v>75000</v>
      </c>
      <c r="F12" s="57">
        <v>75000</v>
      </c>
      <c r="G12" s="57">
        <v>70000</v>
      </c>
      <c r="H12" s="57">
        <v>65000</v>
      </c>
      <c r="I12" s="57">
        <v>60000</v>
      </c>
      <c r="J12" s="57">
        <v>50000</v>
      </c>
      <c r="K12" s="57">
        <v>40000</v>
      </c>
    </row>
    <row r="13" spans="1:13">
      <c r="A13" s="47" t="s">
        <v>263</v>
      </c>
      <c r="B13" s="71">
        <v>0</v>
      </c>
      <c r="C13" s="72">
        <v>0</v>
      </c>
      <c r="D13" s="72">
        <v>0</v>
      </c>
      <c r="E13" s="72">
        <v>0</v>
      </c>
      <c r="F13" s="72">
        <v>0</v>
      </c>
      <c r="G13" s="72">
        <v>0.27</v>
      </c>
      <c r="H13" s="72">
        <v>0.27</v>
      </c>
      <c r="I13" s="72">
        <v>0.27</v>
      </c>
      <c r="J13" s="72">
        <v>0.27</v>
      </c>
      <c r="K13" s="72">
        <v>0.27</v>
      </c>
      <c r="M13" t="s">
        <v>308</v>
      </c>
    </row>
    <row r="14" spans="1:13">
      <c r="A14" s="47"/>
      <c r="B14" s="47"/>
      <c r="C14" s="47"/>
      <c r="D14" s="47"/>
      <c r="E14" s="47"/>
      <c r="F14" s="47"/>
      <c r="G14" s="47"/>
      <c r="H14" s="47"/>
      <c r="I14" s="47"/>
      <c r="J14" s="47"/>
      <c r="K14" s="47"/>
    </row>
    <row r="15" spans="1:13">
      <c r="A15" s="50" t="s">
        <v>309</v>
      </c>
      <c r="B15" s="51"/>
      <c r="C15" s="51"/>
      <c r="D15" s="51"/>
      <c r="E15" s="51"/>
      <c r="F15" s="51"/>
      <c r="G15" s="51"/>
      <c r="H15" s="51"/>
      <c r="I15" s="51"/>
      <c r="J15" s="51"/>
      <c r="K15" s="51"/>
    </row>
    <row r="16" spans="1:13">
      <c r="A16" s="52"/>
      <c r="B16" s="53" t="s">
        <v>247</v>
      </c>
      <c r="C16" s="53" t="s">
        <v>248</v>
      </c>
      <c r="D16" s="53" t="s">
        <v>249</v>
      </c>
      <c r="E16" s="53" t="s">
        <v>250</v>
      </c>
      <c r="F16" s="53" t="s">
        <v>251</v>
      </c>
      <c r="G16" s="53" t="s">
        <v>252</v>
      </c>
      <c r="H16" s="53" t="s">
        <v>253</v>
      </c>
      <c r="I16" s="53" t="s">
        <v>302</v>
      </c>
      <c r="J16" s="53" t="s">
        <v>303</v>
      </c>
      <c r="K16" s="53" t="s">
        <v>304</v>
      </c>
    </row>
    <row r="17" spans="1:11">
      <c r="A17" s="47" t="s">
        <v>310</v>
      </c>
      <c r="B17" s="62">
        <v>1500000</v>
      </c>
      <c r="C17" s="62">
        <v>2000000</v>
      </c>
      <c r="D17" s="62">
        <v>2500000</v>
      </c>
      <c r="E17" s="62">
        <v>3000000</v>
      </c>
      <c r="F17" s="62">
        <v>3500000</v>
      </c>
      <c r="G17" s="62">
        <v>3500000</v>
      </c>
      <c r="H17" s="62">
        <v>3500000</v>
      </c>
      <c r="I17" s="62">
        <v>3000000</v>
      </c>
      <c r="J17" s="62">
        <v>2500000</v>
      </c>
      <c r="K17" s="62">
        <v>2000000</v>
      </c>
    </row>
    <row r="18" spans="1:11">
      <c r="A18" s="63" t="s">
        <v>273</v>
      </c>
      <c r="B18" s="64">
        <v>52500</v>
      </c>
      <c r="C18" s="64">
        <v>80000</v>
      </c>
      <c r="D18" s="64">
        <v>105000</v>
      </c>
      <c r="E18" s="64">
        <v>135000</v>
      </c>
      <c r="F18" s="64">
        <v>157500</v>
      </c>
      <c r="G18" s="64">
        <v>157500</v>
      </c>
      <c r="H18" s="64">
        <v>157500</v>
      </c>
      <c r="I18" s="64">
        <v>126000</v>
      </c>
      <c r="J18" s="64">
        <v>100000</v>
      </c>
      <c r="K18" s="64">
        <v>76000</v>
      </c>
    </row>
    <row r="19" spans="1:11">
      <c r="A19" s="47" t="s">
        <v>311</v>
      </c>
      <c r="B19" s="62">
        <v>52500</v>
      </c>
      <c r="C19" s="62">
        <v>80000</v>
      </c>
      <c r="D19" s="62">
        <v>105000</v>
      </c>
      <c r="E19" s="62">
        <v>135000</v>
      </c>
      <c r="F19" s="62">
        <v>157500</v>
      </c>
      <c r="G19" s="62">
        <v>114975</v>
      </c>
      <c r="H19" s="62">
        <v>114975</v>
      </c>
      <c r="I19" s="62">
        <v>91980</v>
      </c>
      <c r="J19" s="62">
        <v>73000</v>
      </c>
      <c r="K19" s="62">
        <v>55480</v>
      </c>
    </row>
    <row r="20" spans="1:11">
      <c r="A20" s="68" t="s">
        <v>275</v>
      </c>
      <c r="B20" s="69">
        <v>-30000</v>
      </c>
      <c r="C20" s="69">
        <v>-36000</v>
      </c>
      <c r="D20" s="69">
        <v>-42000</v>
      </c>
      <c r="E20" s="69">
        <v>-45000</v>
      </c>
      <c r="F20" s="69">
        <v>-45000</v>
      </c>
      <c r="G20" s="69">
        <v>-42000</v>
      </c>
      <c r="H20" s="69">
        <v>-39000</v>
      </c>
      <c r="I20" s="69">
        <v>-36000</v>
      </c>
      <c r="J20" s="69">
        <v>-30000</v>
      </c>
      <c r="K20" s="69">
        <v>-24000</v>
      </c>
    </row>
    <row r="21" spans="1:11">
      <c r="A21" s="68" t="s">
        <v>277</v>
      </c>
      <c r="B21" s="69">
        <v>-75000</v>
      </c>
      <c r="C21" s="69">
        <v>-100000</v>
      </c>
      <c r="D21" s="69">
        <v>-125000</v>
      </c>
      <c r="E21" s="69">
        <v>-150000</v>
      </c>
      <c r="F21" s="69">
        <v>-175000</v>
      </c>
      <c r="G21" s="69">
        <v>-175000</v>
      </c>
      <c r="H21" s="69">
        <v>-175000</v>
      </c>
      <c r="I21" s="69">
        <v>-150000</v>
      </c>
      <c r="J21" s="69">
        <v>-125000</v>
      </c>
      <c r="K21" s="69">
        <v>-100000</v>
      </c>
    </row>
    <row r="22" spans="1:11">
      <c r="A22" s="47" t="s">
        <v>312</v>
      </c>
      <c r="B22" s="62">
        <v>-50000</v>
      </c>
      <c r="C22" s="62">
        <v>-60000</v>
      </c>
      <c r="D22" s="62">
        <v>-70000</v>
      </c>
      <c r="E22" s="62">
        <v>-75000</v>
      </c>
      <c r="F22" s="62">
        <v>-75000</v>
      </c>
      <c r="G22" s="62">
        <v>-70000</v>
      </c>
      <c r="H22" s="62">
        <v>-65000</v>
      </c>
      <c r="I22" s="62">
        <v>-60000</v>
      </c>
      <c r="J22" s="62">
        <v>-50000</v>
      </c>
      <c r="K22" s="62">
        <v>-40000</v>
      </c>
    </row>
    <row r="23" spans="1:11">
      <c r="A23" s="70" t="s">
        <v>313</v>
      </c>
      <c r="B23" s="64">
        <v>-102500</v>
      </c>
      <c r="C23" s="64">
        <v>-116000</v>
      </c>
      <c r="D23" s="64">
        <v>-132000</v>
      </c>
      <c r="E23" s="64">
        <v>-135000</v>
      </c>
      <c r="F23" s="64">
        <v>-137500</v>
      </c>
      <c r="G23" s="64">
        <v>-172025</v>
      </c>
      <c r="H23" s="64">
        <v>-164025</v>
      </c>
      <c r="I23" s="64">
        <v>-154020</v>
      </c>
      <c r="J23" s="64">
        <v>-132000</v>
      </c>
      <c r="K23" s="64">
        <v>-108520</v>
      </c>
    </row>
    <row r="24" spans="1:11">
      <c r="A24" s="68" t="s">
        <v>279</v>
      </c>
      <c r="B24" s="62">
        <v>-102500</v>
      </c>
      <c r="C24" s="62">
        <v>-218500</v>
      </c>
      <c r="D24" s="62">
        <v>-350500</v>
      </c>
      <c r="E24" s="62">
        <v>-485500</v>
      </c>
      <c r="F24" s="62">
        <v>-623000</v>
      </c>
      <c r="G24" s="62">
        <v>-795025</v>
      </c>
      <c r="H24" s="62">
        <v>-959050</v>
      </c>
      <c r="I24" s="62">
        <v>-1113070</v>
      </c>
      <c r="J24" s="62">
        <v>-1245070</v>
      </c>
      <c r="K24" s="62">
        <v>-1353590</v>
      </c>
    </row>
    <row r="25" spans="1:11">
      <c r="A25" s="47"/>
      <c r="B25" s="47"/>
      <c r="C25" s="47"/>
      <c r="D25" s="47"/>
      <c r="E25" s="47"/>
      <c r="F25" s="47"/>
      <c r="G25" s="47"/>
      <c r="H25" s="47"/>
      <c r="I25" s="47"/>
      <c r="J25" s="47"/>
      <c r="K25" s="47"/>
    </row>
    <row r="26" spans="1:11">
      <c r="A26" s="66" t="s">
        <v>282</v>
      </c>
      <c r="B26" s="66" t="s">
        <v>314</v>
      </c>
      <c r="C26" s="66" t="s">
        <v>283</v>
      </c>
      <c r="D26" s="66" t="s">
        <v>283</v>
      </c>
      <c r="E26" s="66" t="s">
        <v>284</v>
      </c>
      <c r="F26" s="66" t="s">
        <v>284</v>
      </c>
      <c r="G26" s="66" t="s">
        <v>315</v>
      </c>
      <c r="H26" s="66" t="s">
        <v>315</v>
      </c>
      <c r="I26" s="66" t="s">
        <v>316</v>
      </c>
      <c r="J26" s="66" t="s">
        <v>316</v>
      </c>
      <c r="K26" s="66" t="s">
        <v>317</v>
      </c>
    </row>
    <row r="27" spans="1:11">
      <c r="A27" s="47"/>
      <c r="B27" s="47"/>
      <c r="C27" s="47"/>
      <c r="D27" s="47"/>
      <c r="E27" s="47"/>
      <c r="F27" s="47"/>
      <c r="G27" s="47"/>
      <c r="H27" s="47"/>
      <c r="I27" s="47"/>
      <c r="J27" s="47"/>
      <c r="K27" s="47"/>
    </row>
    <row r="28" spans="1:11">
      <c r="A28" s="67" t="s">
        <v>318</v>
      </c>
      <c r="B28" s="47"/>
      <c r="C28" s="47"/>
      <c r="D28" s="47"/>
      <c r="E28" s="47"/>
      <c r="F28" s="47"/>
      <c r="G28" s="47"/>
      <c r="H28" s="47"/>
      <c r="I28" s="47"/>
      <c r="J28" s="47"/>
      <c r="K28" s="47"/>
    </row>
    <row r="29" spans="1:11">
      <c r="A29" s="76" t="s">
        <v>319</v>
      </c>
      <c r="B29" s="76"/>
      <c r="C29" s="76"/>
      <c r="D29" s="76"/>
      <c r="E29" s="76"/>
      <c r="F29" s="76"/>
      <c r="G29" s="76"/>
      <c r="H29" s="76"/>
      <c r="I29" s="76"/>
      <c r="J29" s="76"/>
      <c r="K29" s="76"/>
    </row>
    <row r="30" spans="1:11">
      <c r="A30" s="76" t="s">
        <v>320</v>
      </c>
      <c r="B30" s="76"/>
      <c r="C30" s="76"/>
      <c r="D30" s="76"/>
      <c r="E30" s="76"/>
      <c r="F30" s="76"/>
      <c r="G30" s="76"/>
      <c r="H30" s="76"/>
      <c r="I30" s="76"/>
      <c r="J30" s="76"/>
      <c r="K30" s="76"/>
    </row>
    <row r="31" spans="1:11">
      <c r="A31" s="76" t="s">
        <v>321</v>
      </c>
      <c r="B31" s="76"/>
      <c r="C31" s="76"/>
      <c r="D31" s="76"/>
      <c r="E31" s="76"/>
      <c r="F31" s="76"/>
      <c r="G31" s="76"/>
      <c r="H31" s="76"/>
      <c r="I31" s="76"/>
      <c r="J31" s="76"/>
      <c r="K31" s="76"/>
    </row>
    <row r="32" spans="1:11">
      <c r="A32" s="76" t="s">
        <v>322</v>
      </c>
      <c r="B32" s="76"/>
      <c r="C32" s="76"/>
      <c r="D32" s="76"/>
      <c r="E32" s="76"/>
      <c r="F32" s="76"/>
      <c r="G32" s="76"/>
      <c r="H32" s="76"/>
      <c r="I32" s="76"/>
      <c r="J32" s="76"/>
      <c r="K32" s="76"/>
    </row>
    <row r="33" spans="1:11">
      <c r="A33" s="76" t="s">
        <v>323</v>
      </c>
      <c r="B33" s="76"/>
      <c r="C33" s="76"/>
      <c r="D33" s="76"/>
      <c r="E33" s="76"/>
      <c r="F33" s="76"/>
      <c r="G33" s="76"/>
      <c r="H33" s="76"/>
      <c r="I33" s="76"/>
      <c r="J33" s="76"/>
      <c r="K33" s="76"/>
    </row>
    <row r="34" spans="1:11">
      <c r="A34" s="75" t="s">
        <v>324</v>
      </c>
      <c r="B34" s="75"/>
      <c r="C34" s="75"/>
      <c r="D34" s="75"/>
      <c r="E34" s="75"/>
      <c r="F34" s="75"/>
      <c r="G34" s="75"/>
      <c r="H34" s="75"/>
      <c r="I34" s="75"/>
      <c r="J34" s="75"/>
      <c r="K34" s="75"/>
    </row>
  </sheetData>
  <mergeCells count="6">
    <mergeCell ref="A34:K34"/>
    <mergeCell ref="A29:K29"/>
    <mergeCell ref="A30:K30"/>
    <mergeCell ref="A31:K31"/>
    <mergeCell ref="A32:K32"/>
    <mergeCell ref="A33:K3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5"/>
  <sheetViews>
    <sheetView workbookViewId="0">
      <selection activeCell="C3" sqref="B3:C3"/>
    </sheetView>
  </sheetViews>
  <sheetFormatPr defaultRowHeight="15"/>
  <cols>
    <col min="1" max="1" width="47.140625" bestFit="1" customWidth="1"/>
    <col min="2" max="4" width="12.42578125" bestFit="1" customWidth="1"/>
  </cols>
  <sheetData>
    <row r="1" spans="1:5">
      <c r="B1" t="s">
        <v>325</v>
      </c>
      <c r="C1" t="s">
        <v>326</v>
      </c>
      <c r="D1" t="s">
        <v>327</v>
      </c>
      <c r="E1" t="s">
        <v>328</v>
      </c>
    </row>
    <row r="2" spans="1:5">
      <c r="A2" t="s">
        <v>329</v>
      </c>
      <c r="B2">
        <v>20837062</v>
      </c>
      <c r="C2">
        <v>20837062</v>
      </c>
      <c r="D2">
        <v>20837062</v>
      </c>
      <c r="E2">
        <v>20837062</v>
      </c>
    </row>
    <row r="3" spans="1:5">
      <c r="A3" t="s">
        <v>330</v>
      </c>
      <c r="B3">
        <v>167243684</v>
      </c>
      <c r="C3">
        <v>167243684</v>
      </c>
      <c r="D3">
        <v>167243684</v>
      </c>
      <c r="E3">
        <v>167243684</v>
      </c>
    </row>
    <row r="4" spans="1:5">
      <c r="A4" t="s">
        <v>331</v>
      </c>
      <c r="B4">
        <v>188080746</v>
      </c>
      <c r="C4">
        <v>188080746</v>
      </c>
      <c r="D4">
        <v>188080746</v>
      </c>
      <c r="E4">
        <v>188080746</v>
      </c>
    </row>
    <row r="5" spans="1:5">
      <c r="A5" t="s">
        <v>332</v>
      </c>
      <c r="C5">
        <v>397748000</v>
      </c>
      <c r="D5">
        <v>691385000</v>
      </c>
      <c r="E5">
        <v>944596000</v>
      </c>
    </row>
    <row r="6" spans="1:5">
      <c r="A6" t="s">
        <v>333</v>
      </c>
      <c r="B6">
        <v>23629000</v>
      </c>
      <c r="C6">
        <v>1119040000</v>
      </c>
      <c r="D6">
        <v>1240327000</v>
      </c>
      <c r="E6">
        <v>1315512000</v>
      </c>
    </row>
    <row r="7" spans="1:5">
      <c r="A7" t="s">
        <v>334</v>
      </c>
      <c r="B7">
        <v>-256065000</v>
      </c>
      <c r="C7">
        <v>-324079000</v>
      </c>
      <c r="D7">
        <v>-338740000</v>
      </c>
      <c r="E7">
        <v>-362395000</v>
      </c>
    </row>
    <row r="8" spans="1:5">
      <c r="A8" t="s">
        <v>335</v>
      </c>
      <c r="B8">
        <v>39940000</v>
      </c>
      <c r="C8">
        <v>1009991000</v>
      </c>
      <c r="D8">
        <v>1119444000</v>
      </c>
      <c r="E8">
        <v>1172450000</v>
      </c>
    </row>
    <row r="9" spans="1:5">
      <c r="A9" t="s">
        <v>336</v>
      </c>
      <c r="B9">
        <v>-1838641000</v>
      </c>
      <c r="C9">
        <v>-1547590000</v>
      </c>
      <c r="D9">
        <v>-1780099000</v>
      </c>
      <c r="E9">
        <v>-1640516000</v>
      </c>
    </row>
    <row r="10" spans="1:5">
      <c r="A10" t="s">
        <v>337</v>
      </c>
      <c r="B10">
        <v>-256065000</v>
      </c>
      <c r="C10">
        <v>-324079000</v>
      </c>
      <c r="D10">
        <v>-338740000</v>
      </c>
      <c r="E10">
        <v>-362395000</v>
      </c>
    </row>
    <row r="11" spans="1:5">
      <c r="A11" t="s">
        <v>338</v>
      </c>
      <c r="C11">
        <v>57346000</v>
      </c>
      <c r="D11">
        <v>54519000</v>
      </c>
      <c r="E11">
        <v>53043000</v>
      </c>
    </row>
    <row r="12" spans="1:5">
      <c r="A12" t="s">
        <v>339</v>
      </c>
      <c r="B12">
        <v>16311000</v>
      </c>
      <c r="C12">
        <v>-51703000</v>
      </c>
      <c r="D12">
        <v>-66364000</v>
      </c>
      <c r="E12">
        <v>-90019000</v>
      </c>
    </row>
    <row r="13" spans="1:5">
      <c r="A13" t="s">
        <v>340</v>
      </c>
      <c r="B13">
        <v>16311000</v>
      </c>
      <c r="C13">
        <v>-7474000</v>
      </c>
      <c r="D13">
        <v>-62854000</v>
      </c>
      <c r="E13">
        <v>-85441000</v>
      </c>
    </row>
    <row r="14" spans="1:5">
      <c r="A14" t="s">
        <v>341</v>
      </c>
      <c r="B14">
        <v>16311000</v>
      </c>
      <c r="C14">
        <v>-51703000</v>
      </c>
      <c r="D14">
        <v>-66364000</v>
      </c>
      <c r="E14">
        <v>-90019000</v>
      </c>
    </row>
    <row r="15" spans="1:5">
      <c r="A15" t="s">
        <v>342</v>
      </c>
      <c r="E15">
        <v>0</v>
      </c>
    </row>
    <row r="16" spans="1:5">
      <c r="A16" t="s">
        <v>343</v>
      </c>
      <c r="B16">
        <v>16311000</v>
      </c>
      <c r="C16">
        <v>-51703000</v>
      </c>
      <c r="D16">
        <v>-66364000</v>
      </c>
      <c r="E16">
        <v>-90019000</v>
      </c>
    </row>
    <row r="17" spans="1:5">
      <c r="A17" t="s">
        <v>344</v>
      </c>
      <c r="B17">
        <v>-1061865000</v>
      </c>
      <c r="C17">
        <v>-1193319000</v>
      </c>
      <c r="D17">
        <v>-1209205000</v>
      </c>
      <c r="E17">
        <v>-1224556000</v>
      </c>
    </row>
    <row r="18" spans="1:5">
      <c r="A18" t="s">
        <v>345</v>
      </c>
      <c r="D18">
        <v>1007718000</v>
      </c>
      <c r="E18">
        <v>1007718000</v>
      </c>
    </row>
    <row r="19" spans="1:5">
      <c r="A19" t="s">
        <v>346</v>
      </c>
      <c r="B19">
        <v>1007718000</v>
      </c>
      <c r="C19">
        <v>1007718000</v>
      </c>
      <c r="D19">
        <v>1007718000</v>
      </c>
      <c r="E19">
        <v>1007718000</v>
      </c>
    </row>
    <row r="20" spans="1:5">
      <c r="A20" t="s">
        <v>347</v>
      </c>
      <c r="B20">
        <v>1007718000</v>
      </c>
      <c r="C20">
        <v>1007718000</v>
      </c>
      <c r="D20">
        <v>1007718000</v>
      </c>
      <c r="E20">
        <v>1007718000</v>
      </c>
    </row>
    <row r="21" spans="1:5">
      <c r="A21" t="s">
        <v>348</v>
      </c>
      <c r="B21">
        <v>5078314000</v>
      </c>
      <c r="C21">
        <v>5160074000</v>
      </c>
      <c r="D21">
        <v>5216793000</v>
      </c>
      <c r="E21">
        <v>4686981000</v>
      </c>
    </row>
    <row r="22" spans="1:5">
      <c r="A22" t="s">
        <v>349</v>
      </c>
      <c r="B22">
        <v>236598000</v>
      </c>
      <c r="C22">
        <v>188578000</v>
      </c>
      <c r="D22">
        <v>261920000</v>
      </c>
      <c r="E22">
        <v>133639000</v>
      </c>
    </row>
    <row r="23" spans="1:5">
      <c r="A23" t="s">
        <v>350</v>
      </c>
      <c r="B23">
        <v>22000000</v>
      </c>
      <c r="C23">
        <v>39266000</v>
      </c>
      <c r="D23">
        <v>130469000</v>
      </c>
      <c r="E23">
        <v>0</v>
      </c>
    </row>
    <row r="24" spans="1:5">
      <c r="A24" t="s">
        <v>351</v>
      </c>
      <c r="C24">
        <v>87876000</v>
      </c>
      <c r="D24">
        <v>52557000</v>
      </c>
      <c r="E24">
        <v>52622000</v>
      </c>
    </row>
    <row r="25" spans="1:5">
      <c r="A25" t="s">
        <v>352</v>
      </c>
      <c r="C25">
        <v>43647000</v>
      </c>
      <c r="D25">
        <v>49047000</v>
      </c>
      <c r="E25">
        <v>48044000</v>
      </c>
    </row>
    <row r="26" spans="1:5">
      <c r="A26" t="s">
        <v>353</v>
      </c>
      <c r="C26">
        <v>44229000</v>
      </c>
      <c r="D26">
        <v>3510000</v>
      </c>
      <c r="E26">
        <v>4578000</v>
      </c>
    </row>
    <row r="27" spans="1:5">
      <c r="A27" t="s">
        <v>354</v>
      </c>
      <c r="B27">
        <v>4841716000</v>
      </c>
      <c r="C27">
        <v>4971496000</v>
      </c>
      <c r="D27">
        <v>4954873000</v>
      </c>
      <c r="E27">
        <v>4553342000</v>
      </c>
    </row>
    <row r="28" spans="1:5">
      <c r="A28" t="s">
        <v>355</v>
      </c>
      <c r="B28">
        <v>23629000</v>
      </c>
      <c r="C28">
        <v>1031164000</v>
      </c>
      <c r="D28">
        <v>1187770000</v>
      </c>
      <c r="E28">
        <v>1262890000</v>
      </c>
    </row>
    <row r="29" spans="1:5">
      <c r="A29" t="s">
        <v>356</v>
      </c>
      <c r="C29">
        <v>13699000</v>
      </c>
      <c r="D29">
        <v>5472000</v>
      </c>
      <c r="E29">
        <v>4999000</v>
      </c>
    </row>
    <row r="30" spans="1:5">
      <c r="A30" t="s">
        <v>357</v>
      </c>
      <c r="B30">
        <v>23629000</v>
      </c>
      <c r="C30">
        <v>1017465000</v>
      </c>
      <c r="D30">
        <v>1182298000</v>
      </c>
      <c r="E30">
        <v>1257891000</v>
      </c>
    </row>
    <row r="31" spans="1:5">
      <c r="A31" t="s">
        <v>358</v>
      </c>
      <c r="B31">
        <v>928789000</v>
      </c>
      <c r="C31">
        <v>966073000</v>
      </c>
      <c r="D31">
        <v>648883000</v>
      </c>
      <c r="E31">
        <v>598216000</v>
      </c>
    </row>
    <row r="32" spans="1:5">
      <c r="A32" t="s">
        <v>359</v>
      </c>
      <c r="B32">
        <v>1155526000</v>
      </c>
      <c r="C32">
        <v>1013304000</v>
      </c>
      <c r="D32">
        <v>984289000</v>
      </c>
      <c r="E32">
        <v>1039027000</v>
      </c>
    </row>
    <row r="33" spans="1:5">
      <c r="A33" t="s">
        <v>360</v>
      </c>
      <c r="C33">
        <v>201576000</v>
      </c>
      <c r="D33">
        <v>141624000</v>
      </c>
      <c r="E33">
        <v>188560000</v>
      </c>
    </row>
    <row r="34" spans="1:5">
      <c r="A34" t="s">
        <v>361</v>
      </c>
      <c r="C34">
        <v>24000</v>
      </c>
      <c r="D34">
        <v>24000</v>
      </c>
      <c r="E34">
        <v>24000</v>
      </c>
    </row>
    <row r="35" spans="1:5">
      <c r="A35" t="s">
        <v>362</v>
      </c>
      <c r="B35">
        <v>63906000</v>
      </c>
      <c r="C35">
        <v>104579000</v>
      </c>
      <c r="D35">
        <v>194473000</v>
      </c>
      <c r="E35">
        <v>179354000</v>
      </c>
    </row>
    <row r="36" spans="1:5">
      <c r="A36" t="s">
        <v>363</v>
      </c>
      <c r="B36">
        <v>1091620000</v>
      </c>
      <c r="C36">
        <v>707125000</v>
      </c>
      <c r="D36">
        <v>648168000</v>
      </c>
      <c r="E36">
        <v>671089000</v>
      </c>
    </row>
    <row r="37" spans="1:5">
      <c r="A37" t="s">
        <v>364</v>
      </c>
      <c r="B37">
        <v>5094625000</v>
      </c>
      <c r="C37">
        <v>5108371000</v>
      </c>
      <c r="D37">
        <v>5150429000</v>
      </c>
      <c r="E37">
        <v>4596962000</v>
      </c>
    </row>
    <row r="38" spans="1:5">
      <c r="A38" t="s">
        <v>365</v>
      </c>
      <c r="B38">
        <v>2091550000</v>
      </c>
      <c r="C38">
        <v>1684465000</v>
      </c>
      <c r="D38">
        <v>1975655000</v>
      </c>
      <c r="E38">
        <v>1684136000</v>
      </c>
    </row>
    <row r="39" spans="1:5">
      <c r="A39" t="s">
        <v>366</v>
      </c>
      <c r="B39">
        <v>178924000</v>
      </c>
      <c r="C39">
        <v>173542000</v>
      </c>
      <c r="D39">
        <v>217032000</v>
      </c>
      <c r="E39">
        <v>217080000</v>
      </c>
    </row>
    <row r="40" spans="1:5">
      <c r="A40" t="s">
        <v>367</v>
      </c>
      <c r="B40">
        <v>8861000</v>
      </c>
      <c r="C40">
        <v>24862000</v>
      </c>
      <c r="D40">
        <v>32107000</v>
      </c>
      <c r="E40">
        <v>27405000</v>
      </c>
    </row>
    <row r="41" spans="1:5">
      <c r="A41" t="s">
        <v>368</v>
      </c>
      <c r="B41">
        <v>272376000</v>
      </c>
      <c r="C41">
        <v>272376000</v>
      </c>
      <c r="D41">
        <v>272376000</v>
      </c>
      <c r="E41">
        <v>272376000</v>
      </c>
    </row>
    <row r="42" spans="1:5">
      <c r="A42" t="s">
        <v>7</v>
      </c>
      <c r="B42">
        <v>272376000</v>
      </c>
      <c r="C42">
        <v>272376000</v>
      </c>
      <c r="D42">
        <v>272376000</v>
      </c>
      <c r="E42">
        <v>272376000</v>
      </c>
    </row>
    <row r="43" spans="1:5">
      <c r="A43" t="s">
        <v>369</v>
      </c>
      <c r="B43">
        <v>865226000</v>
      </c>
      <c r="C43">
        <v>528666000</v>
      </c>
      <c r="D43">
        <v>458313000</v>
      </c>
      <c r="E43">
        <v>466337000</v>
      </c>
    </row>
    <row r="44" spans="1:5">
      <c r="A44" t="s">
        <v>370</v>
      </c>
      <c r="C44">
        <v>-693076000</v>
      </c>
      <c r="D44">
        <v>-628074000</v>
      </c>
      <c r="E44">
        <v>-735502000</v>
      </c>
    </row>
    <row r="45" spans="1:5">
      <c r="A45" t="s">
        <v>371</v>
      </c>
      <c r="C45">
        <v>1221742000</v>
      </c>
      <c r="D45">
        <v>1086387000</v>
      </c>
      <c r="E45">
        <v>1201839000</v>
      </c>
    </row>
    <row r="46" spans="1:5">
      <c r="A46" t="s">
        <v>372</v>
      </c>
      <c r="C46">
        <v>15590000</v>
      </c>
      <c r="D46">
        <v>2031000</v>
      </c>
      <c r="E46">
        <v>6222000</v>
      </c>
    </row>
    <row r="47" spans="1:5">
      <c r="A47" t="s">
        <v>373</v>
      </c>
      <c r="C47">
        <v>943731000</v>
      </c>
      <c r="D47">
        <v>824138000</v>
      </c>
      <c r="E47">
        <v>946383000</v>
      </c>
    </row>
    <row r="48" spans="1:5">
      <c r="A48" t="s">
        <v>374</v>
      </c>
      <c r="C48">
        <v>62998000</v>
      </c>
      <c r="D48">
        <v>62998000</v>
      </c>
      <c r="E48">
        <v>62377000</v>
      </c>
    </row>
    <row r="49" spans="1:5">
      <c r="A49" t="s">
        <v>375</v>
      </c>
      <c r="C49">
        <v>199423000</v>
      </c>
      <c r="D49">
        <v>197220000</v>
      </c>
      <c r="E49">
        <v>186857000</v>
      </c>
    </row>
    <row r="50" spans="1:5">
      <c r="A50" t="s">
        <v>376</v>
      </c>
      <c r="C50">
        <v>0</v>
      </c>
      <c r="D50">
        <v>0</v>
      </c>
      <c r="E50">
        <v>0</v>
      </c>
    </row>
    <row r="51" spans="1:5">
      <c r="A51" t="s">
        <v>377</v>
      </c>
      <c r="B51">
        <v>3003075000</v>
      </c>
      <c r="C51">
        <v>3423906000</v>
      </c>
      <c r="D51">
        <v>3174774000</v>
      </c>
      <c r="E51">
        <v>2912826000</v>
      </c>
    </row>
    <row r="52" spans="1:5">
      <c r="A52" t="s">
        <v>378</v>
      </c>
      <c r="C52">
        <v>90878000</v>
      </c>
      <c r="D52">
        <v>83977000</v>
      </c>
      <c r="E52">
        <v>110350000</v>
      </c>
    </row>
    <row r="53" spans="1:5">
      <c r="A53" t="s">
        <v>379</v>
      </c>
      <c r="E53">
        <v>103106000</v>
      </c>
    </row>
    <row r="54" spans="1:5">
      <c r="A54" t="s">
        <v>380</v>
      </c>
      <c r="B54">
        <v>46561000</v>
      </c>
      <c r="C54">
        <v>46295000</v>
      </c>
      <c r="D54">
        <v>51077000</v>
      </c>
      <c r="E54">
        <v>51579000</v>
      </c>
    </row>
    <row r="55" spans="1:5">
      <c r="A55" t="s">
        <v>381</v>
      </c>
      <c r="C55">
        <v>29886000</v>
      </c>
      <c r="D55">
        <v>34914000</v>
      </c>
      <c r="E55">
        <v>33438000</v>
      </c>
    </row>
    <row r="56" spans="1:5">
      <c r="A56" t="s">
        <v>382</v>
      </c>
      <c r="C56">
        <v>9000000</v>
      </c>
      <c r="D56">
        <v>12883000</v>
      </c>
      <c r="E56">
        <v>12883000</v>
      </c>
    </row>
    <row r="57" spans="1:5">
      <c r="A57" t="s">
        <v>383</v>
      </c>
      <c r="C57">
        <v>7409000</v>
      </c>
      <c r="D57">
        <v>3280000</v>
      </c>
      <c r="E57">
        <v>5258000</v>
      </c>
    </row>
    <row r="58" spans="1:5">
      <c r="A58" t="s">
        <v>384</v>
      </c>
      <c r="B58">
        <v>594747000</v>
      </c>
      <c r="C58">
        <v>535792000</v>
      </c>
      <c r="D58">
        <v>530496000</v>
      </c>
      <c r="E58">
        <v>1019633000</v>
      </c>
    </row>
    <row r="59" spans="1:5">
      <c r="A59" t="s">
        <v>385</v>
      </c>
      <c r="B59">
        <v>106172000</v>
      </c>
      <c r="C59">
        <v>88122000</v>
      </c>
      <c r="D59">
        <v>84785000</v>
      </c>
      <c r="E59">
        <v>92777000</v>
      </c>
    </row>
    <row r="60" spans="1:5">
      <c r="A60" t="s">
        <v>386</v>
      </c>
      <c r="B60">
        <v>1762013000</v>
      </c>
      <c r="C60">
        <v>1998873000</v>
      </c>
      <c r="D60">
        <v>1930016000</v>
      </c>
      <c r="E60">
        <v>1217508000</v>
      </c>
    </row>
    <row r="61" spans="1:5">
      <c r="A61" t="s">
        <v>387</v>
      </c>
      <c r="E61">
        <v>-188252000</v>
      </c>
    </row>
    <row r="62" spans="1:5">
      <c r="A62" t="s">
        <v>388</v>
      </c>
      <c r="E62">
        <v>1405760000</v>
      </c>
    </row>
    <row r="63" spans="1:5">
      <c r="A63" t="s">
        <v>389</v>
      </c>
      <c r="B63">
        <v>493582000</v>
      </c>
      <c r="C63">
        <v>663946000</v>
      </c>
      <c r="D63">
        <v>494423000</v>
      </c>
      <c r="E63">
        <v>317873000</v>
      </c>
    </row>
    <row r="64" spans="1:5">
      <c r="A64" t="s">
        <v>390</v>
      </c>
      <c r="B64">
        <v>493582000</v>
      </c>
      <c r="C64">
        <v>663946000</v>
      </c>
      <c r="D64">
        <v>494423000</v>
      </c>
      <c r="E64">
        <v>317873000</v>
      </c>
    </row>
    <row r="65" spans="1:5">
      <c r="A65" t="s">
        <v>391</v>
      </c>
      <c r="B65">
        <v>493582000</v>
      </c>
      <c r="C65">
        <v>663946000</v>
      </c>
      <c r="D65">
        <v>494423000</v>
      </c>
      <c r="E65">
        <v>317873000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6"/>
  <sheetViews>
    <sheetView workbookViewId="0">
      <selection activeCell="J16" sqref="J16"/>
    </sheetView>
  </sheetViews>
  <sheetFormatPr defaultRowHeight="15"/>
  <cols>
    <col min="1" max="1" width="56.140625" bestFit="1" customWidth="1"/>
    <col min="2" max="5" width="12" bestFit="1" customWidth="1"/>
  </cols>
  <sheetData>
    <row r="1" spans="1:5">
      <c r="B1" t="s">
        <v>325</v>
      </c>
      <c r="C1" t="s">
        <v>326</v>
      </c>
      <c r="D1" t="s">
        <v>327</v>
      </c>
      <c r="E1" t="s">
        <v>328</v>
      </c>
    </row>
    <row r="2" spans="1:5">
      <c r="A2" t="s">
        <v>392</v>
      </c>
      <c r="B2">
        <v>0</v>
      </c>
      <c r="C2">
        <v>0</v>
      </c>
      <c r="D2">
        <v>5351670</v>
      </c>
      <c r="E2">
        <v>-39055800</v>
      </c>
    </row>
    <row r="3" spans="1:5">
      <c r="A3" t="s">
        <v>393</v>
      </c>
      <c r="B3">
        <v>0.17597399999999999</v>
      </c>
      <c r="C3">
        <v>0.27</v>
      </c>
      <c r="D3">
        <v>0.27</v>
      </c>
      <c r="E3">
        <v>0.28000000000000003</v>
      </c>
    </row>
    <row r="4" spans="1:5">
      <c r="A4" t="s">
        <v>394</v>
      </c>
      <c r="B4">
        <v>470926000</v>
      </c>
      <c r="C4">
        <v>309065000</v>
      </c>
      <c r="D4">
        <v>150410000</v>
      </c>
      <c r="E4">
        <v>115123000</v>
      </c>
    </row>
    <row r="5" spans="1:5">
      <c r="A5" t="s">
        <v>395</v>
      </c>
      <c r="C5">
        <v>19280000</v>
      </c>
      <c r="D5">
        <v>19821000</v>
      </c>
      <c r="E5">
        <v>-139485000</v>
      </c>
    </row>
    <row r="6" spans="1:5">
      <c r="A6" t="s">
        <v>396</v>
      </c>
      <c r="C6">
        <v>19280000</v>
      </c>
      <c r="D6">
        <v>19821000</v>
      </c>
      <c r="E6">
        <v>-139485000</v>
      </c>
    </row>
    <row r="7" spans="1:5">
      <c r="A7" t="s">
        <v>397</v>
      </c>
      <c r="B7">
        <v>209001000</v>
      </c>
      <c r="C7">
        <v>26139000</v>
      </c>
      <c r="D7">
        <v>-36645000</v>
      </c>
      <c r="E7">
        <v>-271432000</v>
      </c>
    </row>
    <row r="8" spans="1:5">
      <c r="A8" t="s">
        <v>398</v>
      </c>
      <c r="B8">
        <v>90686000</v>
      </c>
      <c r="C8">
        <v>57758000</v>
      </c>
      <c r="D8">
        <v>41540000</v>
      </c>
      <c r="E8">
        <v>54275000</v>
      </c>
    </row>
    <row r="9" spans="1:5">
      <c r="A9" t="s">
        <v>399</v>
      </c>
      <c r="B9">
        <v>470926000</v>
      </c>
      <c r="C9">
        <v>309065000</v>
      </c>
      <c r="D9">
        <v>170231000</v>
      </c>
      <c r="E9">
        <v>-24362000</v>
      </c>
    </row>
    <row r="10" spans="1:5">
      <c r="A10" t="s">
        <v>400</v>
      </c>
      <c r="B10">
        <v>380240000</v>
      </c>
      <c r="C10">
        <v>251307000</v>
      </c>
      <c r="D10">
        <v>128691000</v>
      </c>
      <c r="E10">
        <v>-78637000</v>
      </c>
    </row>
    <row r="11" spans="1:5">
      <c r="A11" t="s">
        <v>401</v>
      </c>
      <c r="B11">
        <v>-126606000</v>
      </c>
      <c r="C11">
        <v>-150822000</v>
      </c>
      <c r="D11">
        <v>-113284000</v>
      </c>
      <c r="E11">
        <v>-99673000</v>
      </c>
    </row>
    <row r="12" spans="1:5">
      <c r="A12" t="s">
        <v>402</v>
      </c>
      <c r="B12">
        <v>126606000</v>
      </c>
      <c r="C12">
        <v>150822000</v>
      </c>
      <c r="D12">
        <v>128849000</v>
      </c>
      <c r="E12">
        <v>112882000</v>
      </c>
    </row>
    <row r="13" spans="1:5">
      <c r="A13" t="s">
        <v>403</v>
      </c>
      <c r="C13">
        <v>40840000</v>
      </c>
      <c r="D13">
        <v>15565000</v>
      </c>
      <c r="E13">
        <v>13209000</v>
      </c>
    </row>
    <row r="14" spans="1:5">
      <c r="A14" t="s">
        <v>404</v>
      </c>
      <c r="B14">
        <v>209001000</v>
      </c>
      <c r="C14">
        <v>26139000</v>
      </c>
      <c r="D14">
        <v>-51114330</v>
      </c>
      <c r="E14">
        <v>-171002800</v>
      </c>
    </row>
    <row r="15" spans="1:5">
      <c r="A15" t="s">
        <v>405</v>
      </c>
      <c r="B15">
        <v>131454000</v>
      </c>
      <c r="C15">
        <v>15886000</v>
      </c>
      <c r="D15">
        <v>14587000</v>
      </c>
      <c r="E15">
        <v>-415208000</v>
      </c>
    </row>
    <row r="16" spans="1:5">
      <c r="A16" t="s">
        <v>406</v>
      </c>
      <c r="B16">
        <v>90686000</v>
      </c>
      <c r="C16">
        <v>57758000</v>
      </c>
      <c r="D16">
        <v>5980163000</v>
      </c>
      <c r="E16">
        <v>5944303000</v>
      </c>
    </row>
    <row r="17" spans="1:5">
      <c r="A17" t="s">
        <v>407</v>
      </c>
      <c r="E17">
        <v>53452000</v>
      </c>
    </row>
    <row r="18" spans="1:5">
      <c r="A18" t="s">
        <v>408</v>
      </c>
      <c r="B18">
        <v>174663591</v>
      </c>
      <c r="C18">
        <v>167243684</v>
      </c>
      <c r="D18">
        <v>167243684</v>
      </c>
      <c r="E18">
        <v>167243684</v>
      </c>
    </row>
    <row r="19" spans="1:5">
      <c r="A19" t="s">
        <v>409</v>
      </c>
      <c r="B19">
        <v>167243684</v>
      </c>
      <c r="C19">
        <v>167243684</v>
      </c>
      <c r="D19">
        <v>167243684</v>
      </c>
      <c r="E19">
        <v>167243684</v>
      </c>
    </row>
    <row r="20" spans="1:5">
      <c r="A20" t="s">
        <v>410</v>
      </c>
      <c r="B20">
        <v>0.75260000000000005</v>
      </c>
      <c r="C20">
        <v>9.5000000000000001E-2</v>
      </c>
      <c r="D20">
        <v>8.72E-2</v>
      </c>
      <c r="E20">
        <v>-2.4826999999999999</v>
      </c>
    </row>
    <row r="21" spans="1:5">
      <c r="A21" t="s">
        <v>411</v>
      </c>
      <c r="B21">
        <v>0.78600000000000003</v>
      </c>
      <c r="C21">
        <v>9.5000000000000001E-2</v>
      </c>
      <c r="D21">
        <v>8.72E-2</v>
      </c>
      <c r="E21">
        <v>-2.4826999999999999</v>
      </c>
    </row>
    <row r="22" spans="1:5">
      <c r="A22" t="s">
        <v>412</v>
      </c>
      <c r="B22">
        <v>131454000</v>
      </c>
      <c r="C22">
        <v>15886000</v>
      </c>
      <c r="D22">
        <v>14587000</v>
      </c>
      <c r="E22">
        <v>-415208000</v>
      </c>
    </row>
    <row r="23" spans="1:5">
      <c r="A23" t="s">
        <v>413</v>
      </c>
      <c r="B23">
        <v>131454000</v>
      </c>
      <c r="C23">
        <v>15886000</v>
      </c>
      <c r="D23">
        <v>14587000</v>
      </c>
      <c r="E23">
        <v>-415208000</v>
      </c>
    </row>
    <row r="24" spans="1:5">
      <c r="A24" t="s">
        <v>414</v>
      </c>
      <c r="B24">
        <v>0</v>
      </c>
      <c r="C24">
        <v>0</v>
      </c>
      <c r="D24">
        <v>0</v>
      </c>
      <c r="E24">
        <v>0</v>
      </c>
    </row>
    <row r="25" spans="1:5">
      <c r="A25" t="s">
        <v>415</v>
      </c>
      <c r="B25">
        <v>131454000</v>
      </c>
      <c r="C25">
        <v>15886000</v>
      </c>
      <c r="D25">
        <v>14587000</v>
      </c>
      <c r="E25">
        <v>-415208000</v>
      </c>
    </row>
    <row r="26" spans="1:5">
      <c r="A26" t="s">
        <v>416</v>
      </c>
      <c r="E26">
        <v>0</v>
      </c>
    </row>
    <row r="27" spans="1:5">
      <c r="A27" t="s">
        <v>417</v>
      </c>
      <c r="B27">
        <v>131454000</v>
      </c>
      <c r="C27">
        <v>15886000</v>
      </c>
      <c r="D27">
        <v>14587000</v>
      </c>
      <c r="E27">
        <v>-415208000</v>
      </c>
    </row>
    <row r="28" spans="1:5">
      <c r="A28" t="s">
        <v>418</v>
      </c>
      <c r="B28">
        <v>-77547000</v>
      </c>
      <c r="C28">
        <v>-10253000</v>
      </c>
      <c r="D28">
        <v>51232000</v>
      </c>
      <c r="E28">
        <v>-143776000</v>
      </c>
    </row>
    <row r="29" spans="1:5">
      <c r="A29" t="s">
        <v>419</v>
      </c>
      <c r="B29">
        <v>209001000</v>
      </c>
      <c r="C29">
        <v>26139000</v>
      </c>
      <c r="D29">
        <v>-36645000</v>
      </c>
      <c r="E29">
        <v>-271432000</v>
      </c>
    </row>
    <row r="30" spans="1:5">
      <c r="A30" t="s">
        <v>420</v>
      </c>
      <c r="B30">
        <v>44633000</v>
      </c>
      <c r="C30">
        <v>74346000</v>
      </c>
      <c r="D30">
        <v>36487000</v>
      </c>
      <c r="E30">
        <v>79913000</v>
      </c>
    </row>
    <row r="31" spans="1:5">
      <c r="A31" t="s">
        <v>421</v>
      </c>
      <c r="B31">
        <v>253634000</v>
      </c>
      <c r="C31">
        <v>100485000</v>
      </c>
      <c r="D31">
        <v>-158000</v>
      </c>
      <c r="E31">
        <v>-191519000</v>
      </c>
    </row>
    <row r="32" spans="1:5">
      <c r="A32" t="s">
        <v>422</v>
      </c>
      <c r="C32">
        <v>10900000</v>
      </c>
      <c r="D32">
        <v>15760000</v>
      </c>
      <c r="E32">
        <v>8699000</v>
      </c>
    </row>
    <row r="33" spans="1:5">
      <c r="A33" t="s">
        <v>423</v>
      </c>
      <c r="C33">
        <v>19280000</v>
      </c>
      <c r="D33">
        <v>19821000</v>
      </c>
      <c r="E33">
        <v>-139485000</v>
      </c>
    </row>
    <row r="34" spans="1:5">
      <c r="A34" t="s">
        <v>424</v>
      </c>
      <c r="C34">
        <v>-19280000</v>
      </c>
      <c r="D34">
        <v>-19821000</v>
      </c>
      <c r="E34">
        <v>-14900000</v>
      </c>
    </row>
    <row r="35" spans="1:5">
      <c r="A35" t="s">
        <v>425</v>
      </c>
      <c r="D35">
        <v>0</v>
      </c>
      <c r="E35">
        <v>127478000</v>
      </c>
    </row>
    <row r="36" spans="1:5">
      <c r="A36" t="s">
        <v>426</v>
      </c>
      <c r="D36">
        <v>14344000</v>
      </c>
      <c r="E36">
        <v>26907000</v>
      </c>
    </row>
    <row r="37" spans="1:5">
      <c r="A37" t="s">
        <v>427</v>
      </c>
      <c r="B37">
        <v>-126606000</v>
      </c>
      <c r="C37">
        <v>-150822000</v>
      </c>
      <c r="D37">
        <v>-113284000</v>
      </c>
      <c r="E37">
        <v>-99673000</v>
      </c>
    </row>
    <row r="38" spans="1:5">
      <c r="A38" t="s">
        <v>428</v>
      </c>
      <c r="B38">
        <v>126606000</v>
      </c>
      <c r="C38">
        <v>150822000</v>
      </c>
      <c r="D38">
        <v>128849000</v>
      </c>
      <c r="E38">
        <v>112882000</v>
      </c>
    </row>
    <row r="39" spans="1:5">
      <c r="A39" t="s">
        <v>429</v>
      </c>
      <c r="C39">
        <v>40840000</v>
      </c>
      <c r="D39">
        <v>15565000</v>
      </c>
      <c r="E39">
        <v>13209000</v>
      </c>
    </row>
    <row r="40" spans="1:5">
      <c r="A40" t="s">
        <v>430</v>
      </c>
      <c r="B40">
        <v>7566405000</v>
      </c>
      <c r="C40">
        <v>7026468000</v>
      </c>
      <c r="D40">
        <v>70501000</v>
      </c>
      <c r="E40">
        <v>24181000</v>
      </c>
    </row>
    <row r="41" spans="1:5">
      <c r="A41" t="s">
        <v>431</v>
      </c>
      <c r="B41">
        <v>90686000</v>
      </c>
      <c r="C41">
        <v>57758000</v>
      </c>
      <c r="D41">
        <v>5980163000</v>
      </c>
      <c r="E41">
        <v>5944303000</v>
      </c>
    </row>
    <row r="42" spans="1:5">
      <c r="A42" t="s">
        <v>432</v>
      </c>
      <c r="C42">
        <v>6889074000</v>
      </c>
      <c r="D42">
        <v>5938623000</v>
      </c>
      <c r="E42">
        <v>5890028000</v>
      </c>
    </row>
    <row r="43" spans="1:5">
      <c r="A43" t="s">
        <v>433</v>
      </c>
      <c r="B43">
        <v>90686000</v>
      </c>
      <c r="C43">
        <v>57758000</v>
      </c>
      <c r="D43">
        <v>41540000</v>
      </c>
      <c r="E43">
        <v>54275000</v>
      </c>
    </row>
    <row r="44" spans="1:5">
      <c r="A44" t="s">
        <v>434</v>
      </c>
      <c r="B44">
        <v>90686000</v>
      </c>
      <c r="C44">
        <v>57758000</v>
      </c>
      <c r="D44">
        <v>41540000</v>
      </c>
      <c r="E44">
        <v>54275000</v>
      </c>
    </row>
    <row r="45" spans="1:5">
      <c r="A45" t="s">
        <v>435</v>
      </c>
      <c r="B45">
        <v>7657091000</v>
      </c>
      <c r="C45">
        <v>7084226000</v>
      </c>
      <c r="D45">
        <v>6050664000</v>
      </c>
      <c r="E45">
        <v>5968484000</v>
      </c>
    </row>
    <row r="46" spans="1:5">
      <c r="A46" t="s">
        <v>436</v>
      </c>
      <c r="B46">
        <v>7657091000</v>
      </c>
      <c r="C46">
        <v>7084226000</v>
      </c>
      <c r="D46">
        <v>6050664000</v>
      </c>
      <c r="E46">
        <v>5968484000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3"/>
  <sheetViews>
    <sheetView workbookViewId="0">
      <selection activeCell="P17" sqref="P17"/>
    </sheetView>
  </sheetViews>
  <sheetFormatPr defaultRowHeight="15"/>
  <cols>
    <col min="1" max="1" width="43.140625" bestFit="1" customWidth="1"/>
    <col min="2" max="5" width="11.28515625" bestFit="1" customWidth="1"/>
  </cols>
  <sheetData>
    <row r="1" spans="1:5">
      <c r="B1" t="s">
        <v>325</v>
      </c>
      <c r="C1" t="s">
        <v>326</v>
      </c>
      <c r="D1" t="s">
        <v>327</v>
      </c>
      <c r="E1" t="s">
        <v>328</v>
      </c>
    </row>
    <row r="2" spans="1:5">
      <c r="A2" t="s">
        <v>437</v>
      </c>
      <c r="B2">
        <v>61185000</v>
      </c>
      <c r="C2">
        <v>111846000</v>
      </c>
      <c r="D2">
        <v>294610000</v>
      </c>
      <c r="E2">
        <v>-421915000</v>
      </c>
    </row>
    <row r="3" spans="1:5">
      <c r="A3" t="s">
        <v>438</v>
      </c>
      <c r="B3">
        <v>-3638000</v>
      </c>
      <c r="C3">
        <v>0</v>
      </c>
    </row>
    <row r="4" spans="1:5">
      <c r="A4" t="s">
        <v>439</v>
      </c>
      <c r="B4">
        <v>-294339000</v>
      </c>
      <c r="C4">
        <v>-226026000</v>
      </c>
      <c r="D4">
        <v>-112696000</v>
      </c>
      <c r="E4">
        <v>-174150000</v>
      </c>
    </row>
    <row r="5" spans="1:5">
      <c r="A5" t="s">
        <v>440</v>
      </c>
      <c r="E5">
        <v>0</v>
      </c>
    </row>
    <row r="6" spans="1:5">
      <c r="A6" t="s">
        <v>441</v>
      </c>
      <c r="B6">
        <v>-149341000</v>
      </c>
      <c r="C6">
        <v>-37040000</v>
      </c>
      <c r="D6">
        <v>-38163000</v>
      </c>
      <c r="E6">
        <v>-18388000</v>
      </c>
    </row>
    <row r="7" spans="1:5">
      <c r="A7" t="s">
        <v>442</v>
      </c>
      <c r="B7">
        <v>469953000</v>
      </c>
      <c r="C7">
        <v>754821000</v>
      </c>
      <c r="D7">
        <v>560562000</v>
      </c>
      <c r="E7">
        <v>409327000</v>
      </c>
    </row>
    <row r="8" spans="1:5">
      <c r="A8" t="s">
        <v>443</v>
      </c>
      <c r="B8">
        <v>-16814000</v>
      </c>
      <c r="C8">
        <v>40837000</v>
      </c>
      <c r="D8">
        <v>-156264000</v>
      </c>
      <c r="E8">
        <v>-24499000</v>
      </c>
    </row>
    <row r="9" spans="1:5">
      <c r="A9" t="s">
        <v>444</v>
      </c>
      <c r="B9">
        <v>713984000</v>
      </c>
      <c r="C9">
        <v>716826000</v>
      </c>
      <c r="D9">
        <v>433826000</v>
      </c>
      <c r="E9">
        <v>847266000</v>
      </c>
    </row>
    <row r="10" spans="1:5">
      <c r="A10" t="s">
        <v>445</v>
      </c>
      <c r="B10">
        <v>-4577000</v>
      </c>
      <c r="C10">
        <v>6997000</v>
      </c>
      <c r="D10">
        <v>29924000</v>
      </c>
      <c r="E10">
        <v>7925000</v>
      </c>
    </row>
    <row r="11" spans="1:5">
      <c r="A11" t="s">
        <v>446</v>
      </c>
      <c r="B11">
        <v>-222640000</v>
      </c>
      <c r="C11">
        <v>-9839000</v>
      </c>
      <c r="D11">
        <v>253076000</v>
      </c>
      <c r="E11">
        <v>-421365000</v>
      </c>
    </row>
    <row r="12" spans="1:5">
      <c r="A12" t="s">
        <v>447</v>
      </c>
      <c r="B12">
        <v>-297977000</v>
      </c>
      <c r="C12">
        <v>-226026000</v>
      </c>
      <c r="D12">
        <v>-112696000</v>
      </c>
      <c r="E12">
        <v>-174150000</v>
      </c>
    </row>
    <row r="13" spans="1:5">
      <c r="A13" t="s">
        <v>448</v>
      </c>
      <c r="B13">
        <v>-3638000</v>
      </c>
      <c r="C13">
        <v>0</v>
      </c>
    </row>
    <row r="14" spans="1:5">
      <c r="A14" t="s">
        <v>449</v>
      </c>
      <c r="B14">
        <v>-3638000</v>
      </c>
      <c r="C14">
        <v>0</v>
      </c>
    </row>
    <row r="15" spans="1:5">
      <c r="A15" t="s">
        <v>450</v>
      </c>
      <c r="B15">
        <v>-294339000</v>
      </c>
      <c r="C15">
        <v>-226026000</v>
      </c>
      <c r="D15">
        <v>-112696000</v>
      </c>
      <c r="E15">
        <v>-174150000</v>
      </c>
    </row>
    <row r="16" spans="1:5">
      <c r="A16" t="s">
        <v>451</v>
      </c>
      <c r="B16">
        <v>-9909000</v>
      </c>
      <c r="C16">
        <v>-9976000</v>
      </c>
      <c r="D16">
        <v>-14254000</v>
      </c>
      <c r="E16">
        <v>-10245000</v>
      </c>
    </row>
    <row r="17" spans="1:5">
      <c r="A17" t="s">
        <v>452</v>
      </c>
      <c r="B17">
        <v>-9909000</v>
      </c>
      <c r="C17">
        <v>-9976000</v>
      </c>
      <c r="D17">
        <v>-14254000</v>
      </c>
      <c r="E17">
        <v>-10245000</v>
      </c>
    </row>
    <row r="18" spans="1:5">
      <c r="A18" t="s">
        <v>453</v>
      </c>
      <c r="E18">
        <v>0</v>
      </c>
    </row>
    <row r="19" spans="1:5">
      <c r="A19" t="s">
        <v>454</v>
      </c>
      <c r="B19">
        <v>-284430000</v>
      </c>
      <c r="C19">
        <v>-216050000</v>
      </c>
      <c r="D19">
        <v>-98442000</v>
      </c>
      <c r="E19">
        <v>-163905000</v>
      </c>
    </row>
    <row r="20" spans="1:5">
      <c r="A20" t="s">
        <v>455</v>
      </c>
      <c r="B20">
        <v>-284430000</v>
      </c>
      <c r="C20">
        <v>-216050000</v>
      </c>
      <c r="D20">
        <v>-98442000</v>
      </c>
      <c r="E20">
        <v>-163905000</v>
      </c>
    </row>
    <row r="21" spans="1:5">
      <c r="A21" t="s">
        <v>456</v>
      </c>
      <c r="E21">
        <v>0</v>
      </c>
    </row>
    <row r="22" spans="1:5">
      <c r="A22" t="s">
        <v>457</v>
      </c>
      <c r="B22">
        <v>-135189000</v>
      </c>
      <c r="C22">
        <v>67301000</v>
      </c>
      <c r="D22">
        <v>32999000</v>
      </c>
      <c r="E22">
        <v>156312000</v>
      </c>
    </row>
    <row r="23" spans="1:5">
      <c r="A23" t="s">
        <v>458</v>
      </c>
      <c r="E23">
        <v>-18388000</v>
      </c>
    </row>
    <row r="24" spans="1:5">
      <c r="A24" t="s">
        <v>459</v>
      </c>
      <c r="B24">
        <v>0</v>
      </c>
      <c r="C24">
        <v>60095000</v>
      </c>
      <c r="D24">
        <v>18641000</v>
      </c>
      <c r="E24">
        <v>0</v>
      </c>
    </row>
    <row r="25" spans="1:5">
      <c r="A25" t="s">
        <v>460</v>
      </c>
      <c r="B25">
        <v>0</v>
      </c>
      <c r="C25">
        <v>60095000</v>
      </c>
      <c r="D25">
        <v>18641000</v>
      </c>
      <c r="E25">
        <v>0</v>
      </c>
    </row>
    <row r="26" spans="1:5">
      <c r="A26" t="s">
        <v>461</v>
      </c>
      <c r="B26">
        <v>-2213000</v>
      </c>
      <c r="C26">
        <v>1260000</v>
      </c>
      <c r="D26">
        <v>-3843000</v>
      </c>
      <c r="E26">
        <v>-1288000</v>
      </c>
    </row>
    <row r="27" spans="1:5">
      <c r="A27" t="s">
        <v>462</v>
      </c>
      <c r="B27">
        <v>929000</v>
      </c>
      <c r="C27">
        <v>4418000</v>
      </c>
      <c r="D27">
        <v>0</v>
      </c>
      <c r="E27">
        <v>0</v>
      </c>
    </row>
    <row r="28" spans="1:5">
      <c r="A28" t="s">
        <v>463</v>
      </c>
      <c r="B28">
        <v>-3142000</v>
      </c>
      <c r="C28">
        <v>-3158000</v>
      </c>
      <c r="D28">
        <v>-3843000</v>
      </c>
      <c r="E28">
        <v>-1288000</v>
      </c>
    </row>
    <row r="29" spans="1:5">
      <c r="A29" t="s">
        <v>464</v>
      </c>
      <c r="B29">
        <v>16365000</v>
      </c>
      <c r="C29">
        <v>42986000</v>
      </c>
      <c r="D29">
        <v>56364000</v>
      </c>
      <c r="E29">
        <v>175988000</v>
      </c>
    </row>
    <row r="30" spans="1:5">
      <c r="A30" t="s">
        <v>465</v>
      </c>
      <c r="B30">
        <v>16365000</v>
      </c>
      <c r="C30">
        <v>42986000</v>
      </c>
      <c r="D30">
        <v>56364000</v>
      </c>
      <c r="E30">
        <v>175988000</v>
      </c>
    </row>
    <row r="31" spans="1:5">
      <c r="A31" t="s">
        <v>466</v>
      </c>
      <c r="B31">
        <v>-149341000</v>
      </c>
      <c r="C31">
        <v>-37040000</v>
      </c>
      <c r="D31">
        <v>-38163000</v>
      </c>
      <c r="E31">
        <v>-18388000</v>
      </c>
    </row>
    <row r="32" spans="1:5">
      <c r="A32" t="s">
        <v>467</v>
      </c>
      <c r="B32">
        <v>210526000</v>
      </c>
      <c r="C32">
        <v>148886000</v>
      </c>
      <c r="D32">
        <v>332773000</v>
      </c>
      <c r="E32">
        <v>-403527000</v>
      </c>
    </row>
    <row r="33" spans="1:5">
      <c r="A33" t="s">
        <v>468</v>
      </c>
      <c r="B33">
        <v>-91785000</v>
      </c>
      <c r="C33">
        <v>-62780000</v>
      </c>
      <c r="D33">
        <v>-59533000</v>
      </c>
      <c r="E33">
        <v>-54809000</v>
      </c>
    </row>
    <row r="34" spans="1:5">
      <c r="A34" t="s">
        <v>469</v>
      </c>
      <c r="D34">
        <v>15804000</v>
      </c>
      <c r="E34">
        <v>19380000</v>
      </c>
    </row>
    <row r="35" spans="1:5">
      <c r="A35" t="s">
        <v>470</v>
      </c>
      <c r="B35">
        <v>-163369000</v>
      </c>
      <c r="C35">
        <v>-162668000</v>
      </c>
      <c r="D35">
        <v>-136255000</v>
      </c>
      <c r="E35">
        <v>-115920000</v>
      </c>
    </row>
    <row r="36" spans="1:5">
      <c r="A36" t="s">
        <v>471</v>
      </c>
      <c r="B36">
        <v>13365000</v>
      </c>
      <c r="C36">
        <v>9563000</v>
      </c>
      <c r="D36">
        <v>505000</v>
      </c>
      <c r="E36">
        <v>896000</v>
      </c>
    </row>
    <row r="37" spans="1:5">
      <c r="A37" t="s">
        <v>472</v>
      </c>
      <c r="C37">
        <v>-168383000</v>
      </c>
      <c r="D37">
        <v>449671000</v>
      </c>
      <c r="E37">
        <v>-240902000</v>
      </c>
    </row>
    <row r="38" spans="1:5">
      <c r="A38" t="s">
        <v>473</v>
      </c>
      <c r="C38">
        <v>-275376000</v>
      </c>
      <c r="D38">
        <v>758736000</v>
      </c>
      <c r="E38">
        <v>-392348000</v>
      </c>
    </row>
    <row r="39" spans="1:5">
      <c r="A39" t="s">
        <v>474</v>
      </c>
      <c r="C39">
        <v>15266000</v>
      </c>
      <c r="D39">
        <v>-64357000</v>
      </c>
      <c r="E39">
        <v>89731000</v>
      </c>
    </row>
    <row r="40" spans="1:5">
      <c r="A40" t="s">
        <v>475</v>
      </c>
      <c r="C40">
        <v>609000</v>
      </c>
      <c r="D40">
        <v>-22346000</v>
      </c>
      <c r="E40">
        <v>661000</v>
      </c>
    </row>
    <row r="41" spans="1:5">
      <c r="A41" t="s">
        <v>476</v>
      </c>
      <c r="C41">
        <v>91118000</v>
      </c>
      <c r="D41">
        <v>-222362000</v>
      </c>
      <c r="E41">
        <v>61054000</v>
      </c>
    </row>
    <row r="42" spans="1:5">
      <c r="A42" t="s">
        <v>477</v>
      </c>
      <c r="C42">
        <v>81495000</v>
      </c>
      <c r="D42">
        <v>33726000</v>
      </c>
      <c r="E42">
        <v>292336000</v>
      </c>
    </row>
    <row r="43" spans="1:5">
      <c r="A43" t="s">
        <v>478</v>
      </c>
      <c r="C43">
        <v>2161000</v>
      </c>
      <c r="D43">
        <v>0</v>
      </c>
    </row>
    <row r="44" spans="1:5">
      <c r="A44" t="s">
        <v>479</v>
      </c>
      <c r="C44">
        <v>301302000</v>
      </c>
      <c r="D44">
        <v>-10810000</v>
      </c>
      <c r="E44">
        <v>-142183000</v>
      </c>
    </row>
    <row r="45" spans="1:5">
      <c r="A45" t="s">
        <v>480</v>
      </c>
      <c r="C45">
        <v>18853000</v>
      </c>
      <c r="D45">
        <v>2191000</v>
      </c>
    </row>
    <row r="46" spans="1:5">
      <c r="A46" t="s">
        <v>481</v>
      </c>
      <c r="C46">
        <v>57758000</v>
      </c>
      <c r="D46">
        <v>41540000</v>
      </c>
      <c r="E46">
        <v>54275000</v>
      </c>
    </row>
    <row r="47" spans="1:5">
      <c r="A47" t="s">
        <v>482</v>
      </c>
      <c r="E47">
        <v>0</v>
      </c>
    </row>
    <row r="48" spans="1:5">
      <c r="A48" t="s">
        <v>46</v>
      </c>
      <c r="C48">
        <v>57758000</v>
      </c>
      <c r="D48">
        <v>41540000</v>
      </c>
      <c r="E48">
        <v>54275000</v>
      </c>
    </row>
    <row r="49" spans="1:5">
      <c r="A49" t="s">
        <v>483</v>
      </c>
      <c r="C49">
        <v>-7302000</v>
      </c>
      <c r="D49">
        <v>-3771000</v>
      </c>
      <c r="E49">
        <v>-3322000</v>
      </c>
    </row>
    <row r="50" spans="1:5">
      <c r="A50" t="s">
        <v>484</v>
      </c>
      <c r="C50">
        <v>-44915000</v>
      </c>
      <c r="D50">
        <v>-9707000</v>
      </c>
      <c r="E50">
        <v>170000</v>
      </c>
    </row>
    <row r="51" spans="1:5">
      <c r="A51" t="s">
        <v>485</v>
      </c>
      <c r="C51">
        <v>-10308000</v>
      </c>
      <c r="D51">
        <v>-15246000</v>
      </c>
      <c r="E51">
        <v>-11578000</v>
      </c>
    </row>
    <row r="52" spans="1:5">
      <c r="A52" t="s">
        <v>486</v>
      </c>
      <c r="D52">
        <v>0</v>
      </c>
      <c r="E52">
        <v>507000</v>
      </c>
    </row>
    <row r="53" spans="1:5">
      <c r="A53" t="s">
        <v>487</v>
      </c>
      <c r="C53">
        <v>89255000</v>
      </c>
      <c r="D53">
        <v>23190000</v>
      </c>
      <c r="E53">
        <v>-320470000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3"/>
  <sheetViews>
    <sheetView topLeftCell="A35" workbookViewId="0">
      <selection activeCell="B123" sqref="B123"/>
    </sheetView>
  </sheetViews>
  <sheetFormatPr defaultRowHeight="15"/>
  <sheetData>
    <row r="1" spans="1:2">
      <c r="A1" t="s">
        <v>488</v>
      </c>
      <c r="B1" t="s">
        <v>489</v>
      </c>
    </row>
    <row r="2" spans="1:2">
      <c r="A2" s="1">
        <v>45987</v>
      </c>
      <c r="B2">
        <v>470</v>
      </c>
    </row>
    <row r="3" spans="1:2">
      <c r="A3" s="1">
        <v>45988</v>
      </c>
      <c r="B3">
        <v>452</v>
      </c>
    </row>
    <row r="4" spans="1:2">
      <c r="A4" s="1">
        <v>45989</v>
      </c>
      <c r="B4">
        <v>451</v>
      </c>
    </row>
    <row r="5" spans="1:2">
      <c r="A5" s="1">
        <v>45992</v>
      </c>
      <c r="B5">
        <v>451</v>
      </c>
    </row>
    <row r="6" spans="1:2">
      <c r="A6" s="1">
        <v>45993</v>
      </c>
      <c r="B6">
        <v>438</v>
      </c>
    </row>
    <row r="7" spans="1:2">
      <c r="A7" s="1">
        <v>45994</v>
      </c>
      <c r="B7">
        <v>436</v>
      </c>
    </row>
    <row r="8" spans="1:2">
      <c r="A8" s="1">
        <v>45995</v>
      </c>
      <c r="B8">
        <v>450</v>
      </c>
    </row>
    <row r="9" spans="1:2">
      <c r="A9" s="1">
        <v>45996</v>
      </c>
      <c r="B9">
        <v>480</v>
      </c>
    </row>
    <row r="10" spans="1:2">
      <c r="A10" s="1">
        <v>45999</v>
      </c>
      <c r="B10">
        <v>453</v>
      </c>
    </row>
    <row r="11" spans="1:2">
      <c r="A11" s="1">
        <v>46000</v>
      </c>
      <c r="B11">
        <v>453</v>
      </c>
    </row>
    <row r="12" spans="1:2">
      <c r="A12" s="1">
        <v>46001</v>
      </c>
      <c r="B12">
        <v>450</v>
      </c>
    </row>
    <row r="13" spans="1:2">
      <c r="A13" s="1">
        <v>46002</v>
      </c>
      <c r="B13">
        <v>450</v>
      </c>
    </row>
    <row r="14" spans="1:2">
      <c r="A14" s="1">
        <v>46003</v>
      </c>
      <c r="B14">
        <v>450</v>
      </c>
    </row>
    <row r="15" spans="1:2">
      <c r="A15" s="1">
        <v>46006</v>
      </c>
      <c r="B15">
        <v>476</v>
      </c>
    </row>
    <row r="16" spans="1:2">
      <c r="A16" s="1">
        <v>46008</v>
      </c>
      <c r="B16">
        <v>445</v>
      </c>
    </row>
    <row r="17" spans="1:2">
      <c r="A17" s="1">
        <v>46009</v>
      </c>
      <c r="B17">
        <v>460</v>
      </c>
    </row>
    <row r="18" spans="1:2">
      <c r="A18" s="1">
        <v>46010</v>
      </c>
      <c r="B18">
        <v>458</v>
      </c>
    </row>
    <row r="19" spans="1:2">
      <c r="A19" s="1">
        <v>46013</v>
      </c>
      <c r="B19">
        <v>459</v>
      </c>
    </row>
    <row r="20" spans="1:2">
      <c r="A20" s="1">
        <v>46014</v>
      </c>
      <c r="B20">
        <v>459</v>
      </c>
    </row>
    <row r="21" spans="1:2">
      <c r="A21" s="1">
        <v>46015</v>
      </c>
      <c r="B21">
        <v>459</v>
      </c>
    </row>
    <row r="22" spans="1:2">
      <c r="A22" s="1">
        <v>46020</v>
      </c>
      <c r="B22">
        <v>449</v>
      </c>
    </row>
    <row r="23" spans="1:2">
      <c r="A23" s="1">
        <v>46021</v>
      </c>
      <c r="B23">
        <v>438</v>
      </c>
    </row>
    <row r="24" spans="1:2">
      <c r="A24" s="1">
        <v>46022</v>
      </c>
      <c r="B24">
        <v>438</v>
      </c>
    </row>
    <row r="25" spans="1:2">
      <c r="A25" s="1">
        <v>46024</v>
      </c>
      <c r="B25">
        <v>449</v>
      </c>
    </row>
    <row r="26" spans="1:2">
      <c r="A26" s="1">
        <v>46027</v>
      </c>
      <c r="B26">
        <v>429</v>
      </c>
    </row>
    <row r="27" spans="1:2">
      <c r="A27" s="1">
        <v>46028</v>
      </c>
      <c r="B27">
        <v>440</v>
      </c>
    </row>
    <row r="28" spans="1:2">
      <c r="A28" s="1">
        <v>46029</v>
      </c>
      <c r="B28">
        <v>435</v>
      </c>
    </row>
    <row r="29" spans="1:2">
      <c r="A29" s="1">
        <v>46030</v>
      </c>
      <c r="B29">
        <v>445</v>
      </c>
    </row>
    <row r="30" spans="1:2">
      <c r="A30" s="1">
        <v>46031</v>
      </c>
      <c r="B30">
        <v>445</v>
      </c>
    </row>
    <row r="31" spans="1:2">
      <c r="A31" s="1">
        <v>46034</v>
      </c>
      <c r="B31">
        <v>449</v>
      </c>
    </row>
    <row r="32" spans="1:2">
      <c r="A32" s="1">
        <v>46035</v>
      </c>
      <c r="B32">
        <v>436</v>
      </c>
    </row>
    <row r="33" spans="1:2">
      <c r="A33" s="1">
        <v>46036</v>
      </c>
      <c r="B33">
        <v>450</v>
      </c>
    </row>
    <row r="34" spans="1:2">
      <c r="A34" s="1">
        <v>46037</v>
      </c>
      <c r="B34">
        <v>437</v>
      </c>
    </row>
    <row r="35" spans="1:2">
      <c r="A35" s="1">
        <v>46038</v>
      </c>
      <c r="B35">
        <v>468</v>
      </c>
    </row>
    <row r="36" spans="1:2">
      <c r="A36" s="1">
        <v>46041</v>
      </c>
      <c r="B36">
        <v>444</v>
      </c>
    </row>
    <row r="37" spans="1:2">
      <c r="A37" s="1">
        <v>46042</v>
      </c>
      <c r="B37">
        <v>440</v>
      </c>
    </row>
    <row r="38" spans="1:2">
      <c r="A38" s="1">
        <v>46043</v>
      </c>
      <c r="B38">
        <v>440</v>
      </c>
    </row>
    <row r="39" spans="1:2">
      <c r="A39" s="1">
        <v>46044</v>
      </c>
      <c r="B39">
        <v>449</v>
      </c>
    </row>
    <row r="40" spans="1:2">
      <c r="A40" s="1">
        <v>46045</v>
      </c>
      <c r="B40">
        <v>450</v>
      </c>
    </row>
    <row r="41" spans="1:2">
      <c r="A41" s="1">
        <v>46048</v>
      </c>
      <c r="B41">
        <v>426</v>
      </c>
    </row>
    <row r="42" spans="1:2">
      <c r="A42" s="1">
        <v>46049</v>
      </c>
      <c r="B42">
        <v>450</v>
      </c>
    </row>
    <row r="43" spans="1:2">
      <c r="A43" s="1">
        <v>46050</v>
      </c>
      <c r="B43">
        <v>450</v>
      </c>
    </row>
    <row r="44" spans="1:2">
      <c r="A44" s="1">
        <v>46051</v>
      </c>
      <c r="B44">
        <v>439</v>
      </c>
    </row>
    <row r="45" spans="1:2">
      <c r="A45" s="1">
        <v>46052</v>
      </c>
      <c r="B45">
        <v>438</v>
      </c>
    </row>
    <row r="46" spans="1:2">
      <c r="A46" s="1">
        <v>46055</v>
      </c>
      <c r="B46">
        <v>439</v>
      </c>
    </row>
    <row r="47" spans="1:2">
      <c r="A47" s="1">
        <v>46056</v>
      </c>
      <c r="B47">
        <v>431</v>
      </c>
    </row>
    <row r="48" spans="1:2">
      <c r="A48" s="1">
        <v>46057</v>
      </c>
      <c r="B48">
        <v>439</v>
      </c>
    </row>
    <row r="49" spans="1:2">
      <c r="A49" s="1">
        <v>46058</v>
      </c>
      <c r="B49">
        <v>436</v>
      </c>
    </row>
    <row r="50" spans="1:2">
      <c r="A50" s="1">
        <v>46059</v>
      </c>
      <c r="B50">
        <v>450</v>
      </c>
    </row>
    <row r="51" spans="1:2">
      <c r="A51" s="1">
        <v>46062</v>
      </c>
      <c r="B51">
        <v>442</v>
      </c>
    </row>
    <row r="52" spans="1:2">
      <c r="A52" s="1">
        <v>46063</v>
      </c>
      <c r="B52">
        <v>429</v>
      </c>
    </row>
    <row r="53" spans="1:2">
      <c r="A53" s="1">
        <v>46064</v>
      </c>
      <c r="B53">
        <v>434</v>
      </c>
    </row>
    <row r="54" spans="1:2">
      <c r="A54" s="1">
        <v>46065</v>
      </c>
      <c r="B54">
        <v>430</v>
      </c>
    </row>
    <row r="55" spans="1:2">
      <c r="A55" s="1">
        <v>46066</v>
      </c>
      <c r="B55">
        <v>429</v>
      </c>
    </row>
    <row r="56" spans="1:2">
      <c r="A56" s="1">
        <v>46069</v>
      </c>
      <c r="B56">
        <v>445</v>
      </c>
    </row>
    <row r="57" spans="1:2">
      <c r="A57" s="1">
        <v>46070</v>
      </c>
      <c r="B57">
        <v>430</v>
      </c>
    </row>
    <row r="58" spans="1:2">
      <c r="A58" s="1">
        <v>46071</v>
      </c>
      <c r="B58">
        <v>430</v>
      </c>
    </row>
    <row r="59" spans="1:2">
      <c r="A59" s="1">
        <v>46072</v>
      </c>
      <c r="B59">
        <v>428</v>
      </c>
    </row>
    <row r="60" spans="1:2">
      <c r="A60" s="1">
        <v>46073</v>
      </c>
      <c r="B60">
        <v>450</v>
      </c>
    </row>
    <row r="61" spans="1:2">
      <c r="A61" s="1">
        <v>46076</v>
      </c>
      <c r="B61">
        <v>449</v>
      </c>
    </row>
    <row r="62" spans="1:2">
      <c r="A62" s="1">
        <v>46077</v>
      </c>
      <c r="B62">
        <v>430</v>
      </c>
    </row>
    <row r="63" spans="1:2">
      <c r="A63" s="1">
        <v>46078</v>
      </c>
      <c r="B63">
        <v>478</v>
      </c>
    </row>
    <row r="64" spans="1:2">
      <c r="A64" s="1">
        <v>46079</v>
      </c>
      <c r="B64">
        <v>530</v>
      </c>
    </row>
    <row r="65" spans="1:2">
      <c r="A65" s="1">
        <v>46080</v>
      </c>
      <c r="B65">
        <v>580</v>
      </c>
    </row>
    <row r="66" spans="1:2">
      <c r="A66" s="1">
        <v>46083</v>
      </c>
      <c r="B66">
        <v>555</v>
      </c>
    </row>
    <row r="67" spans="1:2">
      <c r="A67" s="1">
        <v>46084</v>
      </c>
      <c r="B67">
        <v>522</v>
      </c>
    </row>
    <row r="68" spans="1:2">
      <c r="A68" s="1">
        <v>46085</v>
      </c>
      <c r="B68">
        <v>519</v>
      </c>
    </row>
    <row r="69" spans="1:2">
      <c r="A69" s="1">
        <v>46086</v>
      </c>
      <c r="B69">
        <v>532</v>
      </c>
    </row>
    <row r="70" spans="1:2">
      <c r="A70" s="1">
        <v>46087</v>
      </c>
      <c r="B70">
        <v>535</v>
      </c>
    </row>
    <row r="71" spans="1:2">
      <c r="A71" s="1">
        <v>46090</v>
      </c>
      <c r="B71">
        <v>525</v>
      </c>
    </row>
    <row r="72" spans="1:2">
      <c r="A72" s="1">
        <v>46091</v>
      </c>
      <c r="B72">
        <v>512</v>
      </c>
    </row>
    <row r="73" spans="1:2">
      <c r="A73" s="1">
        <v>46092</v>
      </c>
      <c r="B73">
        <v>552</v>
      </c>
    </row>
    <row r="74" spans="1:2">
      <c r="A74" s="1">
        <v>46093</v>
      </c>
      <c r="B74">
        <v>504</v>
      </c>
    </row>
    <row r="75" spans="1:2">
      <c r="A75" s="1">
        <v>46094</v>
      </c>
      <c r="B75">
        <v>530</v>
      </c>
    </row>
    <row r="76" spans="1:2">
      <c r="A76" s="1">
        <v>46097</v>
      </c>
      <c r="B76">
        <v>513</v>
      </c>
    </row>
    <row r="77" spans="1:2">
      <c r="A77" s="1">
        <v>46098</v>
      </c>
      <c r="B77">
        <v>504</v>
      </c>
    </row>
    <row r="78" spans="1:2">
      <c r="A78" s="1">
        <v>46099</v>
      </c>
      <c r="B78">
        <v>501</v>
      </c>
    </row>
    <row r="79" spans="1:2">
      <c r="A79" s="1">
        <v>46100</v>
      </c>
      <c r="B79">
        <v>475</v>
      </c>
    </row>
    <row r="80" spans="1:2">
      <c r="A80" s="1">
        <v>46101</v>
      </c>
      <c r="B80">
        <v>510</v>
      </c>
    </row>
    <row r="81" spans="1:2">
      <c r="A81" s="1">
        <v>46104</v>
      </c>
      <c r="B81">
        <v>526</v>
      </c>
    </row>
    <row r="82" spans="1:2">
      <c r="A82" s="1">
        <v>46105</v>
      </c>
      <c r="B82">
        <v>489</v>
      </c>
    </row>
    <row r="83" spans="1:2">
      <c r="A83" s="1">
        <v>46106</v>
      </c>
      <c r="B83">
        <v>529</v>
      </c>
    </row>
    <row r="84" spans="1:2">
      <c r="A84" s="1">
        <v>46107</v>
      </c>
      <c r="B84">
        <v>519</v>
      </c>
    </row>
    <row r="85" spans="1:2">
      <c r="A85" s="1">
        <v>46108</v>
      </c>
      <c r="B85">
        <v>500</v>
      </c>
    </row>
    <row r="86" spans="1:2">
      <c r="A86" s="1">
        <v>46111</v>
      </c>
      <c r="B86">
        <v>509</v>
      </c>
    </row>
    <row r="87" spans="1:2">
      <c r="A87" s="1">
        <v>46112</v>
      </c>
      <c r="B87">
        <v>522</v>
      </c>
    </row>
    <row r="88" spans="1:2">
      <c r="A88" s="1">
        <v>46113</v>
      </c>
      <c r="B88">
        <v>531</v>
      </c>
    </row>
    <row r="89" spans="1:2">
      <c r="A89" s="1">
        <v>46114</v>
      </c>
      <c r="B89">
        <v>515</v>
      </c>
    </row>
    <row r="90" spans="1:2">
      <c r="A90" s="1">
        <v>46119</v>
      </c>
      <c r="B90">
        <v>525</v>
      </c>
    </row>
    <row r="91" spans="1:2">
      <c r="A91" s="1">
        <v>46120</v>
      </c>
      <c r="B91">
        <v>579</v>
      </c>
    </row>
    <row r="92" spans="1:2">
      <c r="A92" s="1">
        <v>46121</v>
      </c>
      <c r="B92">
        <v>565</v>
      </c>
    </row>
    <row r="93" spans="1:2">
      <c r="A93" s="1">
        <v>46122</v>
      </c>
      <c r="B93">
        <v>580</v>
      </c>
    </row>
    <row r="94" spans="1:2">
      <c r="A94" s="1">
        <v>46125</v>
      </c>
      <c r="B94">
        <v>551</v>
      </c>
    </row>
    <row r="95" spans="1:2">
      <c r="A95" s="1">
        <v>46126</v>
      </c>
      <c r="B95">
        <v>570</v>
      </c>
    </row>
    <row r="96" spans="1:2">
      <c r="A96" s="1">
        <v>46127</v>
      </c>
      <c r="B96">
        <v>582</v>
      </c>
    </row>
    <row r="97" spans="1:2">
      <c r="A97" s="1">
        <v>46128</v>
      </c>
      <c r="B97">
        <v>571</v>
      </c>
    </row>
    <row r="98" spans="1:2">
      <c r="A98" s="1">
        <v>46129</v>
      </c>
      <c r="B98">
        <v>575</v>
      </c>
    </row>
    <row r="99" spans="1:2">
      <c r="A99" s="1">
        <v>46132</v>
      </c>
      <c r="B99">
        <v>600</v>
      </c>
    </row>
    <row r="100" spans="1:2">
      <c r="A100" s="1">
        <v>46133</v>
      </c>
      <c r="B100">
        <v>589</v>
      </c>
    </row>
    <row r="101" spans="1:2">
      <c r="A101" s="1">
        <v>46134</v>
      </c>
      <c r="B101">
        <v>625</v>
      </c>
    </row>
    <row r="102" spans="1:2">
      <c r="A102" s="1">
        <v>46135</v>
      </c>
      <c r="B102">
        <v>647</v>
      </c>
    </row>
    <row r="103" spans="1:2">
      <c r="A103" s="1">
        <v>46136</v>
      </c>
      <c r="B103">
        <v>650</v>
      </c>
    </row>
    <row r="104" spans="1:2">
      <c r="A104" s="1">
        <v>46140</v>
      </c>
      <c r="B104">
        <v>640</v>
      </c>
    </row>
    <row r="105" spans="1:2">
      <c r="A105" s="1">
        <v>46141</v>
      </c>
      <c r="B105">
        <v>648</v>
      </c>
    </row>
    <row r="106" spans="1:2">
      <c r="A106" s="1">
        <v>46142</v>
      </c>
      <c r="B106">
        <v>642</v>
      </c>
    </row>
    <row r="107" spans="1:2">
      <c r="A107" s="1">
        <v>46146</v>
      </c>
      <c r="B107">
        <v>640</v>
      </c>
    </row>
    <row r="108" spans="1:2">
      <c r="A108" s="1">
        <v>46147</v>
      </c>
      <c r="B108">
        <v>645</v>
      </c>
    </row>
    <row r="109" spans="1:2">
      <c r="A109" s="1">
        <v>46148</v>
      </c>
      <c r="B109">
        <v>612</v>
      </c>
    </row>
    <row r="110" spans="1:2">
      <c r="A110" s="1">
        <v>46149</v>
      </c>
      <c r="B110">
        <v>640</v>
      </c>
    </row>
    <row r="111" spans="1:2">
      <c r="A111" s="1">
        <v>46150</v>
      </c>
      <c r="B111">
        <v>654</v>
      </c>
    </row>
    <row r="112" spans="1:2">
      <c r="A112" s="1">
        <v>46153</v>
      </c>
      <c r="B112">
        <v>661</v>
      </c>
    </row>
    <row r="113" spans="1:2">
      <c r="A113" s="1">
        <v>46154</v>
      </c>
      <c r="B113">
        <v>661</v>
      </c>
    </row>
    <row r="114" spans="1:2">
      <c r="A114" s="1">
        <v>46155</v>
      </c>
      <c r="B114">
        <v>673</v>
      </c>
    </row>
    <row r="115" spans="1:2">
      <c r="A115" s="1">
        <v>46156</v>
      </c>
      <c r="B115">
        <v>680</v>
      </c>
    </row>
    <row r="116" spans="1:2">
      <c r="A116" s="1">
        <v>46157</v>
      </c>
      <c r="B116">
        <v>720</v>
      </c>
    </row>
    <row r="117" spans="1:2">
      <c r="A117" s="1">
        <v>46160</v>
      </c>
      <c r="B117">
        <v>709</v>
      </c>
    </row>
    <row r="118" spans="1:2">
      <c r="A118" s="1">
        <v>46161</v>
      </c>
      <c r="B118">
        <v>710</v>
      </c>
    </row>
    <row r="119" spans="1:2">
      <c r="A119" s="1">
        <v>46162</v>
      </c>
      <c r="B119">
        <v>717</v>
      </c>
    </row>
    <row r="120" spans="1:2">
      <c r="A120" s="1">
        <v>46163</v>
      </c>
      <c r="B120">
        <v>720</v>
      </c>
    </row>
    <row r="121" spans="1:2">
      <c r="A121" s="1">
        <v>46164</v>
      </c>
      <c r="B121">
        <v>715</v>
      </c>
    </row>
    <row r="122" spans="1:2">
      <c r="A122" s="1">
        <v>46167</v>
      </c>
      <c r="B122">
        <v>712</v>
      </c>
    </row>
    <row r="123" spans="1:2">
      <c r="A123" s="1">
        <v>46168</v>
      </c>
      <c r="B123">
        <v>700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workbookViewId="0"/>
  </sheetViews>
  <sheetFormatPr defaultRowHeight="15"/>
  <sheetData>
    <row r="1" spans="1:3">
      <c r="A1" t="s">
        <v>490</v>
      </c>
      <c r="B1" t="s">
        <v>491</v>
      </c>
      <c r="C1" t="s">
        <v>492</v>
      </c>
    </row>
    <row r="2" spans="1:3">
      <c r="A2" t="s">
        <v>493</v>
      </c>
      <c r="C2">
        <v>0.25559999999999999</v>
      </c>
    </row>
    <row r="3" spans="1:3">
      <c r="A3" t="s">
        <v>494</v>
      </c>
      <c r="C3">
        <v>0.19620001000000001</v>
      </c>
    </row>
    <row r="4" spans="1:3">
      <c r="A4" t="s">
        <v>495</v>
      </c>
      <c r="C4">
        <v>0.22339999999999999</v>
      </c>
    </row>
    <row r="5" spans="1:3">
      <c r="A5" t="s">
        <v>496</v>
      </c>
      <c r="C5">
        <v>0.16420001000000001</v>
      </c>
    </row>
    <row r="6" spans="1:3">
      <c r="A6" t="s">
        <v>497</v>
      </c>
      <c r="C6">
        <v>0.122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
  <sheetViews>
    <sheetView workbookViewId="0"/>
  </sheetViews>
  <sheetFormatPr defaultRowHeight="15"/>
  <sheetData>
    <row r="1" spans="1:2">
      <c r="B1" t="s">
        <v>498</v>
      </c>
    </row>
    <row r="2" spans="1:2">
      <c r="A2" t="s">
        <v>499</v>
      </c>
      <c r="B2">
        <v>700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2026-05-26T21:26:59Z</dcterms:created>
  <dcterms:modified xsi:type="dcterms:W3CDTF">2026-06-01T14:13:57Z</dcterms:modified>
  <cp:category/>
  <cp:contentStatus/>
</cp:coreProperties>
</file>